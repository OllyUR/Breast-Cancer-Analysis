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76C91B0-02CE-45A8-B867-BBB18AFCBEB6}" xr6:coauthVersionLast="47" xr6:coauthVersionMax="47" xr10:uidLastSave="{00000000-0000-0000-0000-000000000000}"/>
  <bookViews>
    <workbookView xWindow="-120" yWindow="-120" windowWidth="20730" windowHeight="11040" xr2:uid="{C74B4C2A-5C65-4DCF-A11F-C6628B41868E}"/>
  </bookViews>
  <sheets>
    <sheet name="Diagnosis Analysis" sheetId="2" r:id="rId1"/>
    <sheet name="Age group analysis" sheetId="10" r:id="rId2"/>
    <sheet name="Country Analysis" sheetId="11" r:id="rId3"/>
    <sheet name="Age Vs Diagnosis" sheetId="14" r:id="rId4"/>
    <sheet name="Dataset" sheetId="1" r:id="rId5"/>
  </sheets>
  <definedNames>
    <definedName name="Age__Group">Dataset!$K$1</definedName>
  </definedNames>
  <calcPr calcId="191029"/>
  <pivotCaches>
    <pivotCache cacheId="0" r:id="rId6"/>
    <pivotCache cacheId="6" r:id="rId7"/>
  </pivotCaches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2" i="1"/>
</calcChain>
</file>

<file path=xl/sharedStrings.xml><?xml version="1.0" encoding="utf-8"?>
<sst xmlns="http://schemas.openxmlformats.org/spreadsheetml/2006/main" count="1005" uniqueCount="156">
  <si>
    <t>Patient_ID</t>
  </si>
  <si>
    <t>Age</t>
  </si>
  <si>
    <t>Country</t>
  </si>
  <si>
    <t>Tumor_Size_mm</t>
  </si>
  <si>
    <t>Lump_Shape</t>
  </si>
  <si>
    <t>Lump_Texture</t>
  </si>
  <si>
    <t>Breast_Pain</t>
  </si>
  <si>
    <t>Family_History</t>
  </si>
  <si>
    <t>Screening_Access</t>
  </si>
  <si>
    <t>Diagnosis</t>
  </si>
  <si>
    <t>P001</t>
  </si>
  <si>
    <t>Kenya</t>
  </si>
  <si>
    <t>Irregular</t>
  </si>
  <si>
    <t>Hard</t>
  </si>
  <si>
    <t>No</t>
  </si>
  <si>
    <t>Yes</t>
  </si>
  <si>
    <t>Benign</t>
  </si>
  <si>
    <t>P002</t>
  </si>
  <si>
    <t>Round</t>
  </si>
  <si>
    <t>Smooth</t>
  </si>
  <si>
    <t>P003</t>
  </si>
  <si>
    <t>Ethiopia</t>
  </si>
  <si>
    <t>Malignant</t>
  </si>
  <si>
    <t>P004</t>
  </si>
  <si>
    <t>South Africa</t>
  </si>
  <si>
    <t>Oval</t>
  </si>
  <si>
    <t>P005</t>
  </si>
  <si>
    <t>P006</t>
  </si>
  <si>
    <t>P007</t>
  </si>
  <si>
    <t>P008</t>
  </si>
  <si>
    <t>Uganda</t>
  </si>
  <si>
    <t>P009</t>
  </si>
  <si>
    <t>Ghana</t>
  </si>
  <si>
    <t>Firm</t>
  </si>
  <si>
    <t>P010</t>
  </si>
  <si>
    <t>P011</t>
  </si>
  <si>
    <t>P012</t>
  </si>
  <si>
    <t>P013</t>
  </si>
  <si>
    <t>P014</t>
  </si>
  <si>
    <t>Tanzania</t>
  </si>
  <si>
    <t>P015</t>
  </si>
  <si>
    <t>P016</t>
  </si>
  <si>
    <t>P017</t>
  </si>
  <si>
    <t>P018</t>
  </si>
  <si>
    <t>Nigeria</t>
  </si>
  <si>
    <t>P019</t>
  </si>
  <si>
    <t>Rwanda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</si>
  <si>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</si>
  <si>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</si>
  <si>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</si>
  <si>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</si>
  <si>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</si>
  <si>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</si>
  <si>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</si>
  <si>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</si>
  <si>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</si>
  <si>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</si>
  <si>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</si>
  <si>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</si>
  <si>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</si>
  <si>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</si>
  <si>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</si>
  <si>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</si>
  <si>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</si>
  <si>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</si>
  <si>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</si>
  <si>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</si>
  <si>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</si>
  <si>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</si>
  <si>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</si>
  <si>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</si>
  <si>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</si>
  <si>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</si>
  <si>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</si>
  <si>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</si>
  <si>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</si>
  <si>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</si>
  <si>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</si>
  <si>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</si>
  <si>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</si>
  <si>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</si>
  <si>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</si>
  <si>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</si>
  <si>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</si>
  <si>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</si>
  <si>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</si>
  <si>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</si>
  <si>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</si>
  <si>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</si>
  <si>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</si>
  <si>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</si>
  <si>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</si>
  <si>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</si>
  <si>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</si>
  <si>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</si>
  <si>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</si>
  <si>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</si>
  <si>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</si>
  <si>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</si>
  <si>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</si>
  <si>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</si>
  <si>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</si>
  <si>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</si>
  <si>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</si>
  <si>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</si>
  <si>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</si>
  <si>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</si>
  <si>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</si>
  <si>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</si>
  <si>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</si>
  <si>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</si>
  <si>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</si>
  <si>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</si>
  <si>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</si>
  <si>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</si>
  <si>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</si>
  <si>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</si>
  <si>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</si>
  <si>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</si>
  <si>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</si>
  <si>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</si>
  <si>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</si>
  <si>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</si>
  <si>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</si>
  <si>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</si>
  <si>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</si>
  <si>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</si>
  <si>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</si>
  <si>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</si>
  <si>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</si>
  <si>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</si>
  <si>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</si>
  <si>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</si>
  <si>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</si>
  <si>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</si>
  <si>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</si>
  <si>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</si>
  <si>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</si>
  <si>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</si>
  <si>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</si>
  <si>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</si>
  <si>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</si>
  <si>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</si>
  <si>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</si>
  <si>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</si>
  <si>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</si>
  <si>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</si>
  <si>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Row Labels</t>
  </si>
  <si>
    <t>Grand Total</t>
  </si>
  <si>
    <t>Count of Patients</t>
  </si>
  <si>
    <t>Middle Age</t>
  </si>
  <si>
    <t>Young Adult</t>
  </si>
  <si>
    <t>Age_Group</t>
  </si>
  <si>
    <t>Count</t>
  </si>
  <si>
    <t>Older women</t>
  </si>
  <si>
    <t>Sum of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</si>
</sst>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[african_women_breast_cancer_dataset.xlsx]Diagnosis 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Breast Cancer Diagnosis Distribution Among African Women</a:t>
            </a:r>
          </a:p>
        </c:rich>
      </c:tx>
      <c:layout>
        <c:manualLayout>
          <c:xMode val="edge"/>
          <c:yMode val="edge"/>
          <c:x val="0.19850260242893367"/>
          <c:y val="0.137868183143773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'Diagnosis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EA-4EF3-A6A3-02D47F8D01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EA-4EF3-A6A3-02D47F8D01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'Diagnosis Analysis'!$A$4:$A$6</c:f>
              <c:strCache>
                <c:ptCount val="2"/>
                <c:pt idx="0">
                  <c:v>Benign</c:v>
                </c:pt>
                <c:pt idx="1">
                  <c:v>Malignant</c:v>
                </c:pt>
              </c:strCache>
            </c:strRef>
          </c:cat>
          <c:val>
            <c:numRef>
              <c:f>'Diagnosis Analysis'!$B$4:$B$6</c:f>
              <c:numCache>
                <c:formatCode>General</c:formatCode>
                <c:ptCount val="2"/>
                <c:pt idx="0">
                  <c:v>33</c:v>
                </c:pt>
                <c:pt idx="1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CC-463E-92EC-C19A9222E37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[african_women_breast_cancer_dataset.xlsx]Age group analysis!PivotTable7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breast cancer patients by age group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1229855643044621"/>
          <c:y val="3.608904777360103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'Age group analysis'!$A$4:$A$7</c:f>
              <c:strCache>
                <c:ptCount val="3"/>
                <c:pt idx="0">
                  <c:v>Middle Age</c:v>
                </c:pt>
                <c:pt idx="1">
                  <c:v>Older women</c:v>
                </c:pt>
                <c:pt idx="2">
                  <c:v>Young Adult</c:v>
                </c:pt>
              </c:strCache>
            </c:strRef>
          </c:cat>
          <c:val>
            <c:numRef>
              <c:f>'Age group analysis'!$B$4:$B$7</c:f>
              <c:numCache>
                <c:formatCode>General</c:formatCode>
                <c:ptCount val="3"/>
                <c:pt idx="0">
                  <c:v>50</c:v>
                </c:pt>
                <c:pt idx="1">
                  <c:v>54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50-431C-B06B-35087CDB46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543460992"/>
        <c:axId val="543466752"/>
      </c:barChart>
      <c:catAx>
        <c:axId val="54346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43466752"/>
        <c:crosses val="autoZero"/>
        <c:auto val="1"/>
        <c:lblAlgn val="ctr"/>
        <c:lblOffset val="100"/>
        <c:noMultiLvlLbl val="0"/>
      </c:catAx>
      <c:valAx>
        <c:axId val="543466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4346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[african_women_breast_cancer_dataset.xlsx]Country Analysis!PivotTable1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Breast</a:t>
            </a:r>
            <a:r>
              <a:rPr lang="en-US" baseline="0"/>
              <a:t> cancer cases by Country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'Country Analysis'!$A$4:$A$12</c:f>
              <c:strCache>
                <c:ptCount val="8"/>
                <c:pt idx="0">
                  <c:v>Ethiopia</c:v>
                </c:pt>
                <c:pt idx="1">
                  <c:v>Ghana</c:v>
                </c:pt>
                <c:pt idx="2">
                  <c:v>Kenya</c:v>
                </c:pt>
                <c:pt idx="3">
                  <c:v>Nigeria</c:v>
                </c:pt>
                <c:pt idx="4">
                  <c:v>Rwanda</c:v>
                </c:pt>
                <c:pt idx="5">
                  <c:v>South Africa</c:v>
                </c:pt>
                <c:pt idx="6">
                  <c:v>Tanzania</c:v>
                </c:pt>
                <c:pt idx="7">
                  <c:v>Uganda</c:v>
                </c:pt>
              </c:strCache>
            </c:strRef>
          </c:cat>
          <c:val>
            <c:numRef>
              <c:f>'Country Analysis'!$B$4:$B$12</c:f>
              <c:numCache>
                <c:formatCode>General</c:formatCode>
                <c:ptCount val="8"/>
                <c:pt idx="0">
                  <c:v>21</c:v>
                </c:pt>
                <c:pt idx="1">
                  <c:v>13</c:v>
                </c:pt>
                <c:pt idx="2">
                  <c:v>14</c:v>
                </c:pt>
                <c:pt idx="3">
                  <c:v>8</c:v>
                </c:pt>
                <c:pt idx="4">
                  <c:v>13</c:v>
                </c:pt>
                <c:pt idx="5">
                  <c:v>21</c:v>
                </c:pt>
                <c:pt idx="6">
                  <c:v>17</c:v>
                </c:pt>
                <c:pt idx="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40-4B68-8BD1-13A5213E5E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3711848"/>
        <c:axId val="443711488"/>
      </c:barChart>
      <c:catAx>
        <c:axId val="443711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43711488"/>
        <c:crosses val="autoZero"/>
        <c:auto val="1"/>
        <c:lblAlgn val="ctr"/>
        <c:lblOffset val="100"/>
        <c:noMultiLvlLbl val="0"/>
      </c:catAx>
      <c:valAx>
        <c:axId val="44371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43711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[african_women_breast_cancer_dataset.xlsx]Age Vs Diagnosis!PivotTable4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Breast</a:t>
            </a:r>
            <a:r>
              <a:rPr lang="en-US" baseline="0"/>
              <a:t> cancer diagnosis by age group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</c:pivotFmt>
      <c:pivotFmt>
        <c:idx val="2"/>
        <c:spPr>
          <a:solidFill>
            <a:srgbClr val="FFC000"/>
          </a:solidFill>
          <a:ln>
            <a:noFill/>
          </a:ln>
          <a:effectLst/>
        </c:spPr>
      </c:pivotFmt>
      <c:pivotFmt>
        <c:idx val="3"/>
        <c:spPr>
          <a:solidFill>
            <a:srgbClr val="FFC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Vs Diagnosis'!$B$3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FAC-4B1B-B618-751961183C77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AC-4B1B-B618-751961183C77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FAC-4B1B-B618-751961183C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'Age Vs Diagnosis'!$A$4:$A$13</c:f>
              <c:multiLvlStrCache>
                <c:ptCount val="6"/>
                <c:lvl>
                  <c:pt idx="0">
                    <c:v>Benign</c:v>
                  </c:pt>
                  <c:pt idx="1">
                    <c:v>Malignant</c:v>
                  </c:pt>
                  <c:pt idx="2">
                    <c:v>Benign</c:v>
                  </c:pt>
                  <c:pt idx="3">
                    <c:v>Malignant</c:v>
                  </c:pt>
                  <c:pt idx="4">
                    <c:v>Benign</c:v>
                  </c:pt>
                  <c:pt idx="5">
                    <c:v>Malignant</c:v>
                  </c:pt>
                </c:lvl>
                <c:lvl>
                  <c:pt idx="0">
                    <c:v>Middle Age</c:v>
                  </c:pt>
                  <c:pt idx="2">
                    <c:v>Older women</c:v>
                  </c:pt>
                  <c:pt idx="4">
                    <c:v>Young Adult</c:v>
                  </c:pt>
                </c:lvl>
              </c:multiLvlStrCache>
            </c:multiLvlStrRef>
          </c:cat>
          <c:val>
            <c:numRef>
              <c:f>'Age Vs Diagnosis'!$B$4:$B$13</c:f>
              <c:numCache>
                <c:formatCode>General</c:formatCode>
                <c:ptCount val="6"/>
                <c:pt idx="0">
                  <c:v>14</c:v>
                </c:pt>
                <c:pt idx="1">
                  <c:v>36</c:v>
                </c:pt>
                <c:pt idx="2">
                  <c:v>15</c:v>
                </c:pt>
                <c:pt idx="3">
                  <c:v>39</c:v>
                </c:pt>
                <c:pt idx="4">
                  <c:v>4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B1B-B618-751961183C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3710768"/>
        <c:axId val="443713648"/>
      </c:barChart>
      <c:catAx>
        <c:axId val="44371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43713648"/>
        <c:crosses val="autoZero"/>
        <c:auto val="1"/>
        <c:lblAlgn val="ctr"/>
        <c:lblOffset val="100"/>
        <c:noMultiLvlLbl val="0"/>
      </c:catAx>
      <c:valAx>
        <c:axId val="4437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4371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4</xdr:row>
      <xdr:rowOff>23812</xdr:rowOff>
    </xdr:from>
    <xdr:to>
      <xdr:col>8</xdr:col>
      <xdr:colOff>0</xdr:colOff>
      <xdr:row>18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3FE326-D42E-6A46-ABCD-503155F69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1</xdr:row>
      <xdr:rowOff>95250</xdr:rowOff>
    </xdr:from>
    <xdr:to>
      <xdr:col>10</xdr:col>
      <xdr:colOff>28575</xdr:colOff>
      <xdr:row>18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5C16B7-C27C-CB63-51AD-8EE17C97B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3</xdr:row>
      <xdr:rowOff>185737</xdr:rowOff>
    </xdr:from>
    <xdr:to>
      <xdr:col>10</xdr:col>
      <xdr:colOff>285750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3DFD5E-F4D8-CFF2-22FD-FDDA893DE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3</xdr:row>
      <xdr:rowOff>185737</xdr:rowOff>
    </xdr:from>
    <xdr:to>
      <xdr:col>10</xdr:col>
      <xdr:colOff>152400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7C42AD-64C5-C3F3-C7B1-BD19D4E67C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7.553678703705" createdVersion="8" refreshedVersion="8" minRefreshableVersion="3" recordCount="120" xr:uid="{AA21F64E-960B-422B-95AC-08AE41FE42B0}">
  <cacheSource type="worksheet">
    <worksheetSource ref="A1:K121" sheet="Dataset"/>
  </cacheSource>
  <cacheFields count="11">
    <cacheField name="Patient_ID" numFmtId="0">
      <sharedItems count="12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</sharedItems>
    </cacheField>
    <cacheField name="Age" numFmtId="0">
      <sharedItems containsSemiMixedTypes="0" containsString="0" containsNumber="1" containsInteger="1" minValue="25" maxValue="69" count="42">
        <n v="65"/>
        <n v="59"/>
        <n v="57"/>
        <n v="69"/>
        <n v="30"/>
        <n v="54"/>
        <n v="48"/>
        <n v="49"/>
        <n v="67"/>
        <n v="42"/>
        <n v="50"/>
        <n v="56"/>
        <n v="41"/>
        <n v="35"/>
        <n v="44"/>
        <n v="33"/>
        <n v="32"/>
        <n v="25"/>
        <n v="40"/>
        <n v="51"/>
        <n v="28"/>
        <n v="37"/>
        <n v="60"/>
        <n v="61"/>
        <n v="31"/>
        <n v="43"/>
        <n v="38"/>
        <n v="34"/>
        <n v="47"/>
        <n v="26"/>
        <n v="62"/>
        <n v="52"/>
        <n v="36"/>
        <n v="39"/>
        <n v="66"/>
        <n v="46"/>
        <n v="58"/>
        <n v="55"/>
        <n v="53"/>
        <n v="45"/>
        <n v="29"/>
        <n v="68"/>
      </sharedItems>
    </cacheField>
    <cacheField name="Country" numFmtId="0">
      <sharedItems/>
    </cacheField>
    <cacheField name="Tumor_Size_mm" numFmtId="0">
      <sharedItems containsSemiMixedTypes="0" containsString="0" containsNumber="1" containsInteger="1" minValue="5" maxValue="40"/>
    </cacheField>
    <cacheField name="Lump_Shape" numFmtId="0">
      <sharedItems/>
    </cacheField>
    <cacheField name="Lump_Texture" numFmtId="0">
      <sharedItems/>
    </cacheField>
    <cacheField name="Breast_Pain" numFmtId="0">
      <sharedItems/>
    </cacheField>
    <cacheField name="Family_History" numFmtId="0">
      <sharedItems/>
    </cacheField>
    <cacheField name="Screening_Access" numFmtId="0">
      <sharedItems/>
    </cacheField>
    <cacheField name="Diagnosis" numFmtId="0">
      <sharedItems count="2">
        <s v="Benign"/>
        <s v="Malignant"/>
      </sharedItems>
    </cacheField>
    <cacheField name="Older Women" numFmtId="0">
      <sharedItems count="3">
        <s v="Older Women"/>
        <s v="Young Adult"/>
        <s v="Middle A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7.616355787039" createdVersion="8" refreshedVersion="8" minRefreshableVersion="3" recordCount="120" xr:uid="{2BF10FC1-02F2-478D-AE0F-4FE558DD2660}">
  <cacheSource type="worksheet">
    <worksheetSource ref="A1:L121" sheet="Dataset"/>
  </cacheSource>
  <cacheFields count="12">
    <cacheField name="Patient_ID" numFmtId="0">
      <sharedItems containsBlank="1"/>
    </cacheField>
    <cacheField name="Age" numFmtId="0">
      <sharedItems containsSemiMixedTypes="0" containsString="0" containsNumber="1" containsInteger="1" minValue="25" maxValue="69"/>
    </cacheField>
    <cacheField name="Country" numFmtId="0">
      <sharedItems count="8">
        <s v="Kenya"/>
        <s v="Ethiopia"/>
        <s v="South Africa"/>
        <s v="Uganda"/>
        <s v="Ghana"/>
        <s v="Tanzania"/>
        <s v="Nigeria"/>
        <s v="Rwanda"/>
      </sharedItems>
    </cacheField>
    <cacheField name="Tumor_Size_mm" numFmtId="0">
      <sharedItems containsSemiMixedTypes="0" containsString="0" containsNumber="1" containsInteger="1" minValue="5" maxValue="40"/>
    </cacheField>
    <cacheField name="Lump_Shape" numFmtId="0">
      <sharedItems/>
    </cacheField>
    <cacheField name="Lump_Texture" numFmtId="0">
      <sharedItems/>
    </cacheField>
    <cacheField name="Breast_Pain" numFmtId="0">
      <sharedItems/>
    </cacheField>
    <cacheField name="Family_History" numFmtId="0">
      <sharedItems/>
    </cacheField>
    <cacheField name="Screening_Access" numFmtId="0">
      <sharedItems/>
    </cacheField>
    <cacheField name="Diagnosis" numFmtId="0">
      <sharedItems count="2">
        <s v="Benign"/>
        <s v="Malignant"/>
      </sharedItems>
    </cacheField>
    <cacheField name="Age_Group" numFmtId="0">
      <sharedItems count="3">
        <s v="Older women"/>
        <s v="Young Adult"/>
        <s v="Middle Age"/>
      </sharedItems>
    </cacheField>
    <cacheField name="Count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s v="Kenya"/>
    <n v="12"/>
    <s v="Irregular"/>
    <s v="Hard"/>
    <s v="No"/>
    <s v="Yes"/>
    <s v="Yes"/>
    <x v="0"/>
    <x v="0"/>
  </r>
  <r>
    <x v="1"/>
    <x v="1"/>
    <s v="Kenya"/>
    <n v="10"/>
    <s v="Round"/>
    <s v="Smooth"/>
    <s v="Yes"/>
    <s v="No"/>
    <s v="Yes"/>
    <x v="0"/>
    <x v="0"/>
  </r>
  <r>
    <x v="2"/>
    <x v="2"/>
    <s v="Ethiopia"/>
    <n v="6"/>
    <s v="Round"/>
    <s v="Smooth"/>
    <s v="No"/>
    <s v="Yes"/>
    <s v="Yes"/>
    <x v="1"/>
    <x v="0"/>
  </r>
  <r>
    <x v="3"/>
    <x v="3"/>
    <s v="South Africa"/>
    <n v="32"/>
    <s v="Oval"/>
    <s v="Smooth"/>
    <s v="No"/>
    <s v="No"/>
    <s v="Yes"/>
    <x v="1"/>
    <x v="1"/>
  </r>
  <r>
    <x v="4"/>
    <x v="4"/>
    <s v="Ethiopia"/>
    <n v="29"/>
    <s v="Round"/>
    <s v="Hard"/>
    <s v="No"/>
    <s v="Yes"/>
    <s v="No"/>
    <x v="1"/>
    <x v="0"/>
  </r>
  <r>
    <x v="5"/>
    <x v="5"/>
    <s v="Ethiopia"/>
    <n v="39"/>
    <s v="Irregular"/>
    <s v="Hard"/>
    <s v="No"/>
    <s v="Yes"/>
    <s v="Yes"/>
    <x v="1"/>
    <x v="2"/>
  </r>
  <r>
    <x v="6"/>
    <x v="6"/>
    <s v="Kenya"/>
    <n v="17"/>
    <s v="Round"/>
    <s v="Smooth"/>
    <s v="Yes"/>
    <s v="Yes"/>
    <s v="Yes"/>
    <x v="1"/>
    <x v="2"/>
  </r>
  <r>
    <x v="7"/>
    <x v="7"/>
    <s v="Uganda"/>
    <n v="22"/>
    <s v="Oval"/>
    <s v="Smooth"/>
    <s v="No"/>
    <s v="No"/>
    <s v="Yes"/>
    <x v="1"/>
    <x v="0"/>
  </r>
  <r>
    <x v="8"/>
    <x v="8"/>
    <s v="Ghana"/>
    <n v="22"/>
    <s v="Oval"/>
    <s v="Firm"/>
    <s v="Yes"/>
    <s v="Yes"/>
    <s v="Yes"/>
    <x v="1"/>
    <x v="2"/>
  </r>
  <r>
    <x v="9"/>
    <x v="9"/>
    <s v="South Africa"/>
    <n v="40"/>
    <s v="Round"/>
    <s v="Firm"/>
    <s v="No"/>
    <s v="Yes"/>
    <s v="Yes"/>
    <x v="1"/>
    <x v="0"/>
  </r>
  <r>
    <x v="10"/>
    <x v="10"/>
    <s v="South Africa"/>
    <n v="22"/>
    <s v="Irregular"/>
    <s v="Firm"/>
    <s v="Yes"/>
    <s v="Yes"/>
    <s v="No"/>
    <x v="1"/>
    <x v="0"/>
  </r>
  <r>
    <x v="11"/>
    <x v="10"/>
    <s v="South Africa"/>
    <n v="34"/>
    <s v="Irregular"/>
    <s v="Hard"/>
    <s v="No"/>
    <s v="Yes"/>
    <s v="Yes"/>
    <x v="1"/>
    <x v="0"/>
  </r>
  <r>
    <x v="12"/>
    <x v="1"/>
    <s v="South Africa"/>
    <n v="21"/>
    <s v="Round"/>
    <s v="Hard"/>
    <s v="No"/>
    <s v="No"/>
    <s v="No"/>
    <x v="1"/>
    <x v="0"/>
  </r>
  <r>
    <x v="13"/>
    <x v="11"/>
    <s v="Tanzania"/>
    <n v="10"/>
    <s v="Irregular"/>
    <s v="Smooth"/>
    <s v="Yes"/>
    <s v="Yes"/>
    <s v="Yes"/>
    <x v="1"/>
    <x v="2"/>
  </r>
  <r>
    <x v="14"/>
    <x v="7"/>
    <s v="Kenya"/>
    <n v="29"/>
    <s v="Irregular"/>
    <s v="Hard"/>
    <s v="No"/>
    <s v="No"/>
    <s v="Yes"/>
    <x v="1"/>
    <x v="2"/>
  </r>
  <r>
    <x v="15"/>
    <x v="9"/>
    <s v="Ghana"/>
    <n v="26"/>
    <s v="Oval"/>
    <s v="Smooth"/>
    <s v="No"/>
    <s v="Yes"/>
    <s v="No"/>
    <x v="1"/>
    <x v="2"/>
  </r>
  <r>
    <x v="16"/>
    <x v="12"/>
    <s v="South Africa"/>
    <n v="37"/>
    <s v="Round"/>
    <s v="Firm"/>
    <s v="Yes"/>
    <s v="Yes"/>
    <s v="No"/>
    <x v="1"/>
    <x v="2"/>
  </r>
  <r>
    <x v="17"/>
    <x v="13"/>
    <s v="Nigeria"/>
    <n v="39"/>
    <s v="Round"/>
    <s v="Firm"/>
    <s v="No"/>
    <s v="Yes"/>
    <s v="No"/>
    <x v="1"/>
    <x v="2"/>
  </r>
  <r>
    <x v="18"/>
    <x v="14"/>
    <s v="Rwanda"/>
    <n v="20"/>
    <s v="Round"/>
    <s v="Hard"/>
    <s v="Yes"/>
    <s v="Yes"/>
    <s v="Yes"/>
    <x v="0"/>
    <x v="1"/>
  </r>
  <r>
    <x v="19"/>
    <x v="15"/>
    <s v="Tanzania"/>
    <n v="13"/>
    <s v="Round"/>
    <s v="Hard"/>
    <s v="Yes"/>
    <s v="No"/>
    <s v="No"/>
    <x v="0"/>
    <x v="0"/>
  </r>
  <r>
    <x v="20"/>
    <x v="3"/>
    <s v="Rwanda"/>
    <n v="17"/>
    <s v="Irregular"/>
    <s v="Firm"/>
    <s v="No"/>
    <s v="No"/>
    <s v="No"/>
    <x v="0"/>
    <x v="1"/>
  </r>
  <r>
    <x v="21"/>
    <x v="16"/>
    <s v="South Africa"/>
    <n v="20"/>
    <s v="Irregular"/>
    <s v="Smooth"/>
    <s v="Yes"/>
    <s v="Yes"/>
    <s v="No"/>
    <x v="0"/>
    <x v="1"/>
  </r>
  <r>
    <x v="22"/>
    <x v="17"/>
    <s v="Uganda"/>
    <n v="9"/>
    <s v="Round"/>
    <s v="Hard"/>
    <s v="Yes"/>
    <s v="Yes"/>
    <s v="Yes"/>
    <x v="1"/>
    <x v="2"/>
  </r>
  <r>
    <x v="23"/>
    <x v="18"/>
    <s v="Rwanda"/>
    <n v="22"/>
    <s v="Round"/>
    <s v="Firm"/>
    <s v="Yes"/>
    <s v="No"/>
    <s v="Yes"/>
    <x v="1"/>
    <x v="0"/>
  </r>
  <r>
    <x v="24"/>
    <x v="19"/>
    <s v="Tanzania"/>
    <n v="17"/>
    <s v="Oval"/>
    <s v="Hard"/>
    <s v="Yes"/>
    <s v="Yes"/>
    <s v="No"/>
    <x v="0"/>
    <x v="1"/>
  </r>
  <r>
    <x v="25"/>
    <x v="20"/>
    <s v="Kenya"/>
    <n v="11"/>
    <s v="Round"/>
    <s v="Smooth"/>
    <s v="No"/>
    <s v="Yes"/>
    <s v="No"/>
    <x v="1"/>
    <x v="2"/>
  </r>
  <r>
    <x v="26"/>
    <x v="21"/>
    <s v="Ghana"/>
    <n v="39"/>
    <s v="Oval"/>
    <s v="Firm"/>
    <s v="Yes"/>
    <s v="No"/>
    <s v="No"/>
    <x v="1"/>
    <x v="2"/>
  </r>
  <r>
    <x v="27"/>
    <x v="18"/>
    <s v="Nigeria"/>
    <n v="9"/>
    <s v="Round"/>
    <s v="Smooth"/>
    <s v="Yes"/>
    <s v="No"/>
    <s v="Yes"/>
    <x v="0"/>
    <x v="2"/>
  </r>
  <r>
    <x v="28"/>
    <x v="13"/>
    <s v="Tanzania"/>
    <n v="31"/>
    <s v="Round"/>
    <s v="Smooth"/>
    <s v="No"/>
    <s v="No"/>
    <s v="Yes"/>
    <x v="1"/>
    <x v="2"/>
  </r>
  <r>
    <x v="29"/>
    <x v="7"/>
    <s v="Ethiopia"/>
    <n v="5"/>
    <s v="Oval"/>
    <s v="Hard"/>
    <s v="No"/>
    <s v="No"/>
    <s v="No"/>
    <x v="0"/>
    <x v="0"/>
  </r>
  <r>
    <x v="30"/>
    <x v="22"/>
    <s v="South Africa"/>
    <n v="36"/>
    <s v="Round"/>
    <s v="Hard"/>
    <s v="Yes"/>
    <s v="Yes"/>
    <s v="No"/>
    <x v="1"/>
    <x v="0"/>
  </r>
  <r>
    <x v="31"/>
    <x v="1"/>
    <s v="Rwanda"/>
    <n v="8"/>
    <s v="Irregular"/>
    <s v="Hard"/>
    <s v="Yes"/>
    <s v="No"/>
    <s v="Yes"/>
    <x v="0"/>
    <x v="2"/>
  </r>
  <r>
    <x v="32"/>
    <x v="13"/>
    <s v="South Africa"/>
    <n v="8"/>
    <s v="Oval"/>
    <s v="Smooth"/>
    <s v="Yes"/>
    <s v="Yes"/>
    <s v="Yes"/>
    <x v="1"/>
    <x v="0"/>
  </r>
  <r>
    <x v="33"/>
    <x v="23"/>
    <s v="Uganda"/>
    <n v="20"/>
    <s v="Oval"/>
    <s v="Smooth"/>
    <s v="Yes"/>
    <s v="Yes"/>
    <s v="No"/>
    <x v="1"/>
    <x v="0"/>
  </r>
  <r>
    <x v="34"/>
    <x v="8"/>
    <s v="Ghana"/>
    <n v="25"/>
    <s v="Irregular"/>
    <s v="Hard"/>
    <s v="No"/>
    <s v="Yes"/>
    <s v="No"/>
    <x v="1"/>
    <x v="2"/>
  </r>
  <r>
    <x v="35"/>
    <x v="14"/>
    <s v="Rwanda"/>
    <n v="34"/>
    <s v="Irregular"/>
    <s v="Hard"/>
    <s v="Yes"/>
    <s v="No"/>
    <s v="Yes"/>
    <x v="1"/>
    <x v="1"/>
  </r>
  <r>
    <x v="36"/>
    <x v="24"/>
    <s v="Kenya"/>
    <n v="9"/>
    <s v="Round"/>
    <s v="Firm"/>
    <s v="No"/>
    <s v="Yes"/>
    <s v="Yes"/>
    <x v="1"/>
    <x v="2"/>
  </r>
  <r>
    <x v="37"/>
    <x v="25"/>
    <s v="Ethiopia"/>
    <n v="15"/>
    <s v="Irregular"/>
    <s v="Smooth"/>
    <s v="No"/>
    <s v="No"/>
    <s v="Yes"/>
    <x v="0"/>
    <x v="1"/>
  </r>
  <r>
    <x v="38"/>
    <x v="15"/>
    <s v="Ethiopia"/>
    <n v="21"/>
    <s v="Oval"/>
    <s v="Hard"/>
    <s v="Yes"/>
    <s v="Yes"/>
    <s v="Yes"/>
    <x v="1"/>
    <x v="2"/>
  </r>
  <r>
    <x v="39"/>
    <x v="26"/>
    <s v="Ethiopia"/>
    <n v="26"/>
    <s v="Round"/>
    <s v="Smooth"/>
    <s v="No"/>
    <s v="Yes"/>
    <s v="No"/>
    <x v="1"/>
    <x v="0"/>
  </r>
  <r>
    <x v="40"/>
    <x v="0"/>
    <s v="Uganda"/>
    <n v="32"/>
    <s v="Round"/>
    <s v="Hard"/>
    <s v="Yes"/>
    <s v="No"/>
    <s v="Yes"/>
    <x v="1"/>
    <x v="2"/>
  </r>
  <r>
    <x v="41"/>
    <x v="12"/>
    <s v="Kenya"/>
    <n v="15"/>
    <s v="Round"/>
    <s v="Hard"/>
    <s v="No"/>
    <s v="No"/>
    <s v="Yes"/>
    <x v="0"/>
    <x v="1"/>
  </r>
  <r>
    <x v="42"/>
    <x v="27"/>
    <s v="Tanzania"/>
    <n v="39"/>
    <s v="Round"/>
    <s v="Smooth"/>
    <s v="No"/>
    <s v="Yes"/>
    <s v="Yes"/>
    <x v="1"/>
    <x v="2"/>
  </r>
  <r>
    <x v="43"/>
    <x v="14"/>
    <s v="South Africa"/>
    <n v="28"/>
    <s v="Irregular"/>
    <s v="Smooth"/>
    <s v="No"/>
    <s v="Yes"/>
    <s v="Yes"/>
    <x v="1"/>
    <x v="2"/>
  </r>
  <r>
    <x v="44"/>
    <x v="28"/>
    <s v="Ghana"/>
    <n v="40"/>
    <s v="Round"/>
    <s v="Firm"/>
    <s v="Yes"/>
    <s v="No"/>
    <s v="Yes"/>
    <x v="1"/>
    <x v="1"/>
  </r>
  <r>
    <x v="45"/>
    <x v="29"/>
    <s v="Ethiopia"/>
    <n v="16"/>
    <s v="Round"/>
    <s v="Hard"/>
    <s v="No"/>
    <s v="No"/>
    <s v="Yes"/>
    <x v="0"/>
    <x v="1"/>
  </r>
  <r>
    <x v="46"/>
    <x v="24"/>
    <s v="South Africa"/>
    <n v="29"/>
    <s v="Oval"/>
    <s v="Firm"/>
    <s v="No"/>
    <s v="Yes"/>
    <s v="Yes"/>
    <x v="1"/>
    <x v="2"/>
  </r>
  <r>
    <x v="47"/>
    <x v="14"/>
    <s v="Ethiopia"/>
    <n v="19"/>
    <s v="Round"/>
    <s v="Firm"/>
    <s v="Yes"/>
    <s v="Yes"/>
    <s v="Yes"/>
    <x v="0"/>
    <x v="2"/>
  </r>
  <r>
    <x v="48"/>
    <x v="28"/>
    <s v="Kenya"/>
    <n v="37"/>
    <s v="Oval"/>
    <s v="Smooth"/>
    <s v="No"/>
    <s v="No"/>
    <s v="Yes"/>
    <x v="1"/>
    <x v="0"/>
  </r>
  <r>
    <x v="49"/>
    <x v="30"/>
    <s v="Uganda"/>
    <n v="21"/>
    <s v="Irregular"/>
    <s v="Firm"/>
    <s v="Yes"/>
    <s v="Yes"/>
    <s v="No"/>
    <x v="1"/>
    <x v="0"/>
  </r>
  <r>
    <x v="50"/>
    <x v="31"/>
    <s v="Ethiopia"/>
    <n v="37"/>
    <s v="Round"/>
    <s v="Hard"/>
    <s v="No"/>
    <s v="Yes"/>
    <s v="Yes"/>
    <x v="1"/>
    <x v="0"/>
  </r>
  <r>
    <x v="51"/>
    <x v="31"/>
    <s v="Uganda"/>
    <n v="5"/>
    <s v="Irregular"/>
    <s v="Firm"/>
    <s v="No"/>
    <s v="Yes"/>
    <s v="No"/>
    <x v="0"/>
    <x v="0"/>
  </r>
  <r>
    <x v="52"/>
    <x v="8"/>
    <s v="Uganda"/>
    <n v="12"/>
    <s v="Oval"/>
    <s v="Hard"/>
    <s v="No"/>
    <s v="No"/>
    <s v="No"/>
    <x v="0"/>
    <x v="2"/>
  </r>
  <r>
    <x v="53"/>
    <x v="25"/>
    <s v="Tanzania"/>
    <n v="40"/>
    <s v="Irregular"/>
    <s v="Hard"/>
    <s v="Yes"/>
    <s v="Yes"/>
    <s v="No"/>
    <x v="1"/>
    <x v="2"/>
  </r>
  <r>
    <x v="54"/>
    <x v="32"/>
    <s v="Ethiopia"/>
    <n v="24"/>
    <s v="Round"/>
    <s v="Firm"/>
    <s v="Yes"/>
    <s v="No"/>
    <s v="No"/>
    <x v="1"/>
    <x v="0"/>
  </r>
  <r>
    <x v="55"/>
    <x v="30"/>
    <s v="South Africa"/>
    <n v="25"/>
    <s v="Irregular"/>
    <s v="Firm"/>
    <s v="No"/>
    <s v="No"/>
    <s v="No"/>
    <x v="1"/>
    <x v="2"/>
  </r>
  <r>
    <x v="56"/>
    <x v="13"/>
    <s v="South Africa"/>
    <n v="10"/>
    <s v="Irregular"/>
    <s v="Firm"/>
    <s v="No"/>
    <s v="No"/>
    <s v="Yes"/>
    <x v="0"/>
    <x v="2"/>
  </r>
  <r>
    <x v="57"/>
    <x v="33"/>
    <s v="Rwanda"/>
    <n v="17"/>
    <s v="Irregular"/>
    <s v="Smooth"/>
    <s v="Yes"/>
    <s v="Yes"/>
    <s v="Yes"/>
    <x v="0"/>
    <x v="0"/>
  </r>
  <r>
    <x v="58"/>
    <x v="5"/>
    <s v="Tanzania"/>
    <n v="31"/>
    <s v="Round"/>
    <s v="Smooth"/>
    <s v="No"/>
    <s v="Yes"/>
    <s v="No"/>
    <x v="1"/>
    <x v="0"/>
  </r>
  <r>
    <x v="59"/>
    <x v="34"/>
    <s v="Rwanda"/>
    <n v="5"/>
    <s v="Round"/>
    <s v="Hard"/>
    <s v="No"/>
    <s v="Yes"/>
    <s v="Yes"/>
    <x v="0"/>
    <x v="2"/>
  </r>
  <r>
    <x v="60"/>
    <x v="18"/>
    <s v="Uganda"/>
    <n v="12"/>
    <s v="Oval"/>
    <s v="Hard"/>
    <s v="Yes"/>
    <s v="No"/>
    <s v="No"/>
    <x v="0"/>
    <x v="0"/>
  </r>
  <r>
    <x v="61"/>
    <x v="2"/>
    <s v="Rwanda"/>
    <n v="32"/>
    <s v="Oval"/>
    <s v="Smooth"/>
    <s v="Yes"/>
    <s v="No"/>
    <s v="No"/>
    <x v="1"/>
    <x v="0"/>
  </r>
  <r>
    <x v="62"/>
    <x v="0"/>
    <s v="Rwanda"/>
    <n v="22"/>
    <s v="Round"/>
    <s v="Hard"/>
    <s v="Yes"/>
    <s v="No"/>
    <s v="No"/>
    <x v="1"/>
    <x v="2"/>
  </r>
  <r>
    <x v="63"/>
    <x v="25"/>
    <s v="Kenya"/>
    <n v="20"/>
    <s v="Round"/>
    <s v="Smooth"/>
    <s v="No"/>
    <s v="No"/>
    <s v="No"/>
    <x v="0"/>
    <x v="2"/>
  </r>
  <r>
    <x v="64"/>
    <x v="33"/>
    <s v="Tanzania"/>
    <n v="29"/>
    <s v="Oval"/>
    <s v="Firm"/>
    <s v="Yes"/>
    <s v="Yes"/>
    <s v="Yes"/>
    <x v="1"/>
    <x v="0"/>
  </r>
  <r>
    <x v="65"/>
    <x v="1"/>
    <s v="Tanzania"/>
    <n v="34"/>
    <s v="Oval"/>
    <s v="Hard"/>
    <s v="Yes"/>
    <s v="No"/>
    <s v="Yes"/>
    <x v="1"/>
    <x v="0"/>
  </r>
  <r>
    <x v="66"/>
    <x v="3"/>
    <s v="Uganda"/>
    <n v="6"/>
    <s v="Oval"/>
    <s v="Firm"/>
    <s v="No"/>
    <s v="No"/>
    <s v="Yes"/>
    <x v="0"/>
    <x v="0"/>
  </r>
  <r>
    <x v="67"/>
    <x v="19"/>
    <s v="Ethiopia"/>
    <n v="39"/>
    <s v="Oval"/>
    <s v="Firm"/>
    <s v="No"/>
    <s v="Yes"/>
    <s v="Yes"/>
    <x v="1"/>
    <x v="1"/>
  </r>
  <r>
    <x v="68"/>
    <x v="29"/>
    <s v="Rwanda"/>
    <n v="29"/>
    <s v="Round"/>
    <s v="Hard"/>
    <s v="No"/>
    <s v="No"/>
    <s v="Yes"/>
    <x v="1"/>
    <x v="0"/>
  </r>
  <r>
    <x v="69"/>
    <x v="1"/>
    <s v="Tanzania"/>
    <n v="6"/>
    <s v="Round"/>
    <s v="Firm"/>
    <s v="Yes"/>
    <s v="No"/>
    <s v="Yes"/>
    <x v="0"/>
    <x v="2"/>
  </r>
  <r>
    <x v="70"/>
    <x v="32"/>
    <s v="South Africa"/>
    <n v="8"/>
    <s v="Oval"/>
    <s v="Firm"/>
    <s v="No"/>
    <s v="No"/>
    <s v="No"/>
    <x v="0"/>
    <x v="2"/>
  </r>
  <r>
    <x v="71"/>
    <x v="35"/>
    <s v="Kenya"/>
    <n v="29"/>
    <s v="Oval"/>
    <s v="Smooth"/>
    <s v="No"/>
    <s v="No"/>
    <s v="No"/>
    <x v="1"/>
    <x v="0"/>
  </r>
  <r>
    <x v="72"/>
    <x v="1"/>
    <s v="Nigeria"/>
    <n v="8"/>
    <s v="Round"/>
    <s v="Smooth"/>
    <s v="Yes"/>
    <s v="No"/>
    <s v="Yes"/>
    <x v="0"/>
    <x v="2"/>
  </r>
  <r>
    <x v="73"/>
    <x v="21"/>
    <s v="Kenya"/>
    <n v="6"/>
    <s v="Irregular"/>
    <s v="Smooth"/>
    <s v="Yes"/>
    <s v="Yes"/>
    <s v="Yes"/>
    <x v="1"/>
    <x v="0"/>
  </r>
  <r>
    <x v="74"/>
    <x v="5"/>
    <s v="Ghana"/>
    <n v="21"/>
    <s v="Oval"/>
    <s v="Smooth"/>
    <s v="Yes"/>
    <s v="No"/>
    <s v="Yes"/>
    <x v="1"/>
    <x v="0"/>
  </r>
  <r>
    <x v="75"/>
    <x v="30"/>
    <s v="South Africa"/>
    <n v="6"/>
    <s v="Round"/>
    <s v="Hard"/>
    <s v="No"/>
    <s v="No"/>
    <s v="No"/>
    <x v="0"/>
    <x v="0"/>
  </r>
  <r>
    <x v="76"/>
    <x v="3"/>
    <s v="Nigeria"/>
    <n v="20"/>
    <s v="Oval"/>
    <s v="Hard"/>
    <s v="No"/>
    <s v="Yes"/>
    <s v="Yes"/>
    <x v="1"/>
    <x v="0"/>
  </r>
  <r>
    <x v="77"/>
    <x v="31"/>
    <s v="Tanzania"/>
    <n v="28"/>
    <s v="Oval"/>
    <s v="Smooth"/>
    <s v="No"/>
    <s v="Yes"/>
    <s v="Yes"/>
    <x v="1"/>
    <x v="0"/>
  </r>
  <r>
    <x v="78"/>
    <x v="31"/>
    <s v="Ghana"/>
    <n v="28"/>
    <s v="Irregular"/>
    <s v="Hard"/>
    <s v="Yes"/>
    <s v="No"/>
    <s v="No"/>
    <x v="1"/>
    <x v="0"/>
  </r>
  <r>
    <x v="79"/>
    <x v="34"/>
    <s v="Ethiopia"/>
    <n v="22"/>
    <s v="Oval"/>
    <s v="Smooth"/>
    <s v="No"/>
    <s v="No"/>
    <s v="No"/>
    <x v="1"/>
    <x v="1"/>
  </r>
  <r>
    <x v="80"/>
    <x v="4"/>
    <s v="Tanzania"/>
    <n v="22"/>
    <s v="Oval"/>
    <s v="Smooth"/>
    <s v="Yes"/>
    <s v="No"/>
    <s v="No"/>
    <x v="1"/>
    <x v="0"/>
  </r>
  <r>
    <x v="81"/>
    <x v="11"/>
    <s v="Uganda"/>
    <n v="25"/>
    <s v="Oval"/>
    <s v="Firm"/>
    <s v="No"/>
    <s v="Yes"/>
    <s v="Yes"/>
    <x v="1"/>
    <x v="2"/>
  </r>
  <r>
    <x v="82"/>
    <x v="9"/>
    <s v="South Africa"/>
    <n v="22"/>
    <s v="Irregular"/>
    <s v="Firm"/>
    <s v="Yes"/>
    <s v="Yes"/>
    <s v="Yes"/>
    <x v="1"/>
    <x v="0"/>
  </r>
  <r>
    <x v="83"/>
    <x v="11"/>
    <s v="Rwanda"/>
    <n v="40"/>
    <s v="Round"/>
    <s v="Smooth"/>
    <s v="No"/>
    <s v="Yes"/>
    <s v="No"/>
    <x v="1"/>
    <x v="2"/>
  </r>
  <r>
    <x v="84"/>
    <x v="25"/>
    <s v="Uganda"/>
    <n v="19"/>
    <s v="Oval"/>
    <s v="Hard"/>
    <s v="Yes"/>
    <s v="No"/>
    <s v="No"/>
    <x v="0"/>
    <x v="0"/>
  </r>
  <r>
    <x v="85"/>
    <x v="36"/>
    <s v="Rwanda"/>
    <n v="27"/>
    <s v="Oval"/>
    <s v="Firm"/>
    <s v="No"/>
    <s v="No"/>
    <s v="No"/>
    <x v="1"/>
    <x v="2"/>
  </r>
  <r>
    <x v="86"/>
    <x v="12"/>
    <s v="Ghana"/>
    <n v="19"/>
    <s v="Round"/>
    <s v="Smooth"/>
    <s v="Yes"/>
    <s v="Yes"/>
    <s v="No"/>
    <x v="0"/>
    <x v="0"/>
  </r>
  <r>
    <x v="87"/>
    <x v="37"/>
    <s v="Ethiopia"/>
    <n v="22"/>
    <s v="Round"/>
    <s v="Firm"/>
    <s v="Yes"/>
    <s v="No"/>
    <s v="Yes"/>
    <x v="1"/>
    <x v="2"/>
  </r>
  <r>
    <x v="88"/>
    <x v="32"/>
    <s v="Nigeria"/>
    <n v="24"/>
    <s v="Round"/>
    <s v="Hard"/>
    <s v="Yes"/>
    <s v="Yes"/>
    <s v="No"/>
    <x v="1"/>
    <x v="2"/>
  </r>
  <r>
    <x v="89"/>
    <x v="25"/>
    <s v="Ethiopia"/>
    <n v="13"/>
    <s v="Oval"/>
    <s v="Firm"/>
    <s v="Yes"/>
    <s v="No"/>
    <s v="Yes"/>
    <x v="0"/>
    <x v="0"/>
  </r>
  <r>
    <x v="90"/>
    <x v="38"/>
    <s v="Rwanda"/>
    <n v="26"/>
    <s v="Round"/>
    <s v="Smooth"/>
    <s v="Yes"/>
    <s v="Yes"/>
    <s v="No"/>
    <x v="1"/>
    <x v="0"/>
  </r>
  <r>
    <x v="91"/>
    <x v="10"/>
    <s v="Ghana"/>
    <n v="36"/>
    <s v="Irregular"/>
    <s v="Firm"/>
    <s v="Yes"/>
    <s v="Yes"/>
    <s v="Yes"/>
    <x v="1"/>
    <x v="1"/>
  </r>
  <r>
    <x v="92"/>
    <x v="4"/>
    <s v="Tanzania"/>
    <n v="20"/>
    <s v="Oval"/>
    <s v="Firm"/>
    <s v="No"/>
    <s v="Yes"/>
    <s v="Yes"/>
    <x v="1"/>
    <x v="2"/>
  </r>
  <r>
    <x v="93"/>
    <x v="14"/>
    <s v="South Africa"/>
    <n v="32"/>
    <s v="Irregular"/>
    <s v="Smooth"/>
    <s v="Yes"/>
    <s v="No"/>
    <s v="Yes"/>
    <x v="1"/>
    <x v="2"/>
  </r>
  <r>
    <x v="94"/>
    <x v="12"/>
    <s v="Ghana"/>
    <n v="10"/>
    <s v="Round"/>
    <s v="Firm"/>
    <s v="Yes"/>
    <s v="Yes"/>
    <s v="Yes"/>
    <x v="1"/>
    <x v="0"/>
  </r>
  <r>
    <x v="95"/>
    <x v="38"/>
    <s v="Ethiopia"/>
    <n v="35"/>
    <s v="Irregular"/>
    <s v="Firm"/>
    <s v="Yes"/>
    <s v="No"/>
    <s v="Yes"/>
    <x v="1"/>
    <x v="0"/>
  </r>
  <r>
    <x v="96"/>
    <x v="3"/>
    <s v="South Africa"/>
    <n v="34"/>
    <s v="Oval"/>
    <s v="Smooth"/>
    <s v="Yes"/>
    <s v="Yes"/>
    <s v="No"/>
    <x v="1"/>
    <x v="0"/>
  </r>
  <r>
    <x v="97"/>
    <x v="1"/>
    <s v="Ghana"/>
    <n v="19"/>
    <s v="Oval"/>
    <s v="Hard"/>
    <s v="No"/>
    <s v="Yes"/>
    <s v="Yes"/>
    <x v="0"/>
    <x v="0"/>
  </r>
  <r>
    <x v="98"/>
    <x v="23"/>
    <s v="Ethiopia"/>
    <n v="23"/>
    <s v="Irregular"/>
    <s v="Firm"/>
    <s v="Yes"/>
    <s v="No"/>
    <s v="No"/>
    <x v="1"/>
    <x v="2"/>
  </r>
  <r>
    <x v="99"/>
    <x v="9"/>
    <s v="Nigeria"/>
    <n v="37"/>
    <s v="Oval"/>
    <s v="Hard"/>
    <s v="No"/>
    <s v="No"/>
    <s v="Yes"/>
    <x v="1"/>
    <x v="2"/>
  </r>
  <r>
    <x v="100"/>
    <x v="39"/>
    <s v="Nigeria"/>
    <n v="21"/>
    <s v="Irregular"/>
    <s v="Firm"/>
    <s v="Yes"/>
    <s v="Yes"/>
    <s v="Yes"/>
    <x v="1"/>
    <x v="0"/>
  </r>
  <r>
    <x v="101"/>
    <x v="23"/>
    <s v="Ghana"/>
    <n v="7"/>
    <s v="Irregular"/>
    <s v="Firm"/>
    <s v="No"/>
    <s v="Yes"/>
    <s v="No"/>
    <x v="1"/>
    <x v="0"/>
  </r>
  <r>
    <x v="102"/>
    <x v="0"/>
    <s v="Tanzania"/>
    <n v="36"/>
    <s v="Oval"/>
    <s v="Firm"/>
    <s v="No"/>
    <s v="Yes"/>
    <s v="No"/>
    <x v="1"/>
    <x v="0"/>
  </r>
  <r>
    <x v="103"/>
    <x v="8"/>
    <s v="Ethiopia"/>
    <n v="11"/>
    <s v="Irregular"/>
    <s v="Firm"/>
    <s v="No"/>
    <s v="Yes"/>
    <s v="No"/>
    <x v="1"/>
    <x v="0"/>
  </r>
  <r>
    <x v="104"/>
    <x v="22"/>
    <s v="Ethiopia"/>
    <n v="7"/>
    <s v="Oval"/>
    <s v="Smooth"/>
    <s v="Yes"/>
    <s v="No"/>
    <s v="No"/>
    <x v="0"/>
    <x v="0"/>
  </r>
  <r>
    <x v="105"/>
    <x v="10"/>
    <s v="Nigeria"/>
    <n v="37"/>
    <s v="Round"/>
    <s v="Hard"/>
    <s v="No"/>
    <s v="Yes"/>
    <s v="No"/>
    <x v="1"/>
    <x v="2"/>
  </r>
  <r>
    <x v="106"/>
    <x v="6"/>
    <s v="Ethiopia"/>
    <n v="36"/>
    <s v="Irregular"/>
    <s v="Smooth"/>
    <s v="Yes"/>
    <s v="No"/>
    <s v="Yes"/>
    <x v="1"/>
    <x v="2"/>
  </r>
  <r>
    <x v="107"/>
    <x v="25"/>
    <s v="South Africa"/>
    <n v="33"/>
    <s v="Irregular"/>
    <s v="Smooth"/>
    <s v="Yes"/>
    <s v="No"/>
    <s v="Yes"/>
    <x v="1"/>
    <x v="2"/>
  </r>
  <r>
    <x v="108"/>
    <x v="14"/>
    <s v="South Africa"/>
    <n v="40"/>
    <s v="Round"/>
    <s v="Firm"/>
    <s v="No"/>
    <s v="Yes"/>
    <s v="Yes"/>
    <x v="1"/>
    <x v="1"/>
  </r>
  <r>
    <x v="109"/>
    <x v="16"/>
    <s v="Tanzania"/>
    <n v="14"/>
    <s v="Oval"/>
    <s v="Firm"/>
    <s v="No"/>
    <s v="No"/>
    <s v="No"/>
    <x v="0"/>
    <x v="2"/>
  </r>
  <r>
    <x v="110"/>
    <x v="18"/>
    <s v="Ghana"/>
    <n v="34"/>
    <s v="Round"/>
    <s v="Firm"/>
    <s v="No"/>
    <s v="Yes"/>
    <s v="Yes"/>
    <x v="1"/>
    <x v="0"/>
  </r>
  <r>
    <x v="111"/>
    <x v="19"/>
    <s v="Ethiopia"/>
    <n v="26"/>
    <s v="Irregular"/>
    <s v="Hard"/>
    <s v="Yes"/>
    <s v="No"/>
    <s v="No"/>
    <x v="1"/>
    <x v="0"/>
  </r>
  <r>
    <x v="112"/>
    <x v="8"/>
    <s v="Uganda"/>
    <n v="36"/>
    <s v="Oval"/>
    <s v="Hard"/>
    <s v="No"/>
    <s v="Yes"/>
    <s v="No"/>
    <x v="1"/>
    <x v="0"/>
  </r>
  <r>
    <x v="113"/>
    <x v="1"/>
    <s v="South Africa"/>
    <n v="29"/>
    <s v="Irregular"/>
    <s v="Firm"/>
    <s v="No"/>
    <s v="No"/>
    <s v="Yes"/>
    <x v="1"/>
    <x v="2"/>
  </r>
  <r>
    <x v="114"/>
    <x v="33"/>
    <s v="Tanzania"/>
    <n v="31"/>
    <s v="Oval"/>
    <s v="Hard"/>
    <s v="No"/>
    <s v="Yes"/>
    <s v="No"/>
    <x v="1"/>
    <x v="0"/>
  </r>
  <r>
    <x v="115"/>
    <x v="34"/>
    <s v="Uganda"/>
    <n v="14"/>
    <s v="Round"/>
    <s v="Firm"/>
    <s v="Yes"/>
    <s v="No"/>
    <s v="Yes"/>
    <x v="0"/>
    <x v="1"/>
  </r>
  <r>
    <x v="116"/>
    <x v="24"/>
    <s v="Tanzania"/>
    <n v="38"/>
    <s v="Irregular"/>
    <s v="Smooth"/>
    <s v="Yes"/>
    <s v="No"/>
    <s v="Yes"/>
    <x v="1"/>
    <x v="1"/>
  </r>
  <r>
    <x v="117"/>
    <x v="40"/>
    <s v="Kenya"/>
    <n v="35"/>
    <s v="Oval"/>
    <s v="Hard"/>
    <s v="No"/>
    <s v="No"/>
    <s v="No"/>
    <x v="1"/>
    <x v="0"/>
  </r>
  <r>
    <x v="118"/>
    <x v="1"/>
    <s v="Kenya"/>
    <n v="29"/>
    <s v="Round"/>
    <s v="Hard"/>
    <s v="No"/>
    <s v="No"/>
    <s v="Yes"/>
    <x v="1"/>
    <x v="0"/>
  </r>
  <r>
    <x v="119"/>
    <x v="41"/>
    <s v="Kenya"/>
    <n v="23"/>
    <s v="Irregular"/>
    <s v="Hard"/>
    <s v="Yes"/>
    <s v="Yes"/>
    <s v="No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P001"/>
    <n v="65"/>
    <x v="0"/>
    <n v="12"/>
    <s v="Irregular"/>
    <s v="Hard"/>
    <s v="No"/>
    <s v="Yes"/>
    <s v="Yes"/>
    <x v="0"/>
    <x v="0"/>
    <n v="1"/>
  </r>
  <r>
    <s v="P002"/>
    <n v="59"/>
    <x v="0"/>
    <n v="10"/>
    <s v="Round"/>
    <s v="Smooth"/>
    <s v="Yes"/>
    <s v="No"/>
    <s v="Yes"/>
    <x v="0"/>
    <x v="0"/>
    <n v="1"/>
  </r>
  <r>
    <s v="P003"/>
    <n v="57"/>
    <x v="1"/>
    <n v="6"/>
    <s v="Round"/>
    <s v="Smooth"/>
    <s v="No"/>
    <s v="Yes"/>
    <s v="Yes"/>
    <x v="1"/>
    <x v="0"/>
    <n v="1"/>
  </r>
  <r>
    <s v="P004"/>
    <n v="69"/>
    <x v="2"/>
    <n v="32"/>
    <s v="Oval"/>
    <s v="Smooth"/>
    <s v="No"/>
    <s v="No"/>
    <s v="Yes"/>
    <x v="1"/>
    <x v="0"/>
    <n v="1"/>
  </r>
  <r>
    <s v="P005"/>
    <n v="30"/>
    <x v="1"/>
    <n v="29"/>
    <s v="Round"/>
    <s v="Hard"/>
    <s v="No"/>
    <s v="Yes"/>
    <s v="No"/>
    <x v="1"/>
    <x v="1"/>
    <n v="1"/>
  </r>
  <r>
    <s v="P006"/>
    <n v="54"/>
    <x v="1"/>
    <n v="39"/>
    <s v="Irregular"/>
    <s v="Hard"/>
    <s v="No"/>
    <s v="Yes"/>
    <s v="Yes"/>
    <x v="1"/>
    <x v="0"/>
    <n v="1"/>
  </r>
  <r>
    <s v="P007"/>
    <n v="48"/>
    <x v="0"/>
    <n v="17"/>
    <s v="Round"/>
    <s v="Smooth"/>
    <s v="Yes"/>
    <s v="Yes"/>
    <s v="Yes"/>
    <x v="1"/>
    <x v="2"/>
    <n v="1"/>
  </r>
  <r>
    <s v="P008"/>
    <n v="49"/>
    <x v="3"/>
    <n v="22"/>
    <s v="Oval"/>
    <s v="Smooth"/>
    <s v="No"/>
    <s v="No"/>
    <s v="Yes"/>
    <x v="1"/>
    <x v="2"/>
    <n v="1"/>
  </r>
  <r>
    <s v="P009"/>
    <n v="67"/>
    <x v="4"/>
    <n v="22"/>
    <s v="Oval"/>
    <s v="Firm"/>
    <s v="Yes"/>
    <s v="Yes"/>
    <s v="Yes"/>
    <x v="1"/>
    <x v="0"/>
    <n v="1"/>
  </r>
  <r>
    <s v="P010"/>
    <n v="42"/>
    <x v="2"/>
    <n v="40"/>
    <s v="Round"/>
    <s v="Firm"/>
    <s v="No"/>
    <s v="Yes"/>
    <s v="Yes"/>
    <x v="1"/>
    <x v="2"/>
    <n v="1"/>
  </r>
  <r>
    <s v="P011"/>
    <n v="50"/>
    <x v="2"/>
    <n v="22"/>
    <s v="Irregular"/>
    <s v="Firm"/>
    <s v="Yes"/>
    <s v="Yes"/>
    <s v="No"/>
    <x v="1"/>
    <x v="2"/>
    <n v="1"/>
  </r>
  <r>
    <s v="P012"/>
    <n v="50"/>
    <x v="2"/>
    <n v="34"/>
    <s v="Irregular"/>
    <s v="Hard"/>
    <s v="No"/>
    <s v="Yes"/>
    <s v="Yes"/>
    <x v="1"/>
    <x v="2"/>
    <n v="1"/>
  </r>
  <r>
    <s v="P013"/>
    <n v="59"/>
    <x v="2"/>
    <n v="21"/>
    <s v="Round"/>
    <s v="Hard"/>
    <s v="No"/>
    <s v="No"/>
    <s v="No"/>
    <x v="1"/>
    <x v="0"/>
    <n v="1"/>
  </r>
  <r>
    <s v="P014"/>
    <n v="56"/>
    <x v="5"/>
    <n v="10"/>
    <s v="Irregular"/>
    <s v="Smooth"/>
    <s v="Yes"/>
    <s v="Yes"/>
    <s v="Yes"/>
    <x v="1"/>
    <x v="0"/>
    <n v="1"/>
  </r>
  <r>
    <s v="P015"/>
    <n v="49"/>
    <x v="0"/>
    <n v="29"/>
    <s v="Irregular"/>
    <s v="Hard"/>
    <s v="No"/>
    <s v="No"/>
    <s v="Yes"/>
    <x v="1"/>
    <x v="2"/>
    <n v="1"/>
  </r>
  <r>
    <s v="P016"/>
    <n v="42"/>
    <x v="4"/>
    <n v="26"/>
    <s v="Oval"/>
    <s v="Smooth"/>
    <s v="No"/>
    <s v="Yes"/>
    <s v="No"/>
    <x v="1"/>
    <x v="2"/>
    <n v="1"/>
  </r>
  <r>
    <s v="P017"/>
    <n v="41"/>
    <x v="2"/>
    <n v="37"/>
    <s v="Round"/>
    <s v="Firm"/>
    <s v="Yes"/>
    <s v="Yes"/>
    <s v="No"/>
    <x v="1"/>
    <x v="2"/>
    <n v="1"/>
  </r>
  <r>
    <s v="P018"/>
    <n v="35"/>
    <x v="6"/>
    <n v="39"/>
    <s v="Round"/>
    <s v="Firm"/>
    <s v="No"/>
    <s v="Yes"/>
    <s v="No"/>
    <x v="1"/>
    <x v="2"/>
    <n v="1"/>
  </r>
  <r>
    <s v="P019"/>
    <n v="44"/>
    <x v="7"/>
    <n v="20"/>
    <s v="Round"/>
    <s v="Hard"/>
    <s v="Yes"/>
    <s v="Yes"/>
    <s v="Yes"/>
    <x v="0"/>
    <x v="2"/>
    <n v="1"/>
  </r>
  <r>
    <s v="P020"/>
    <n v="33"/>
    <x v="5"/>
    <n v="13"/>
    <s v="Round"/>
    <s v="Hard"/>
    <s v="Yes"/>
    <s v="No"/>
    <s v="No"/>
    <x v="0"/>
    <x v="1"/>
    <n v="1"/>
  </r>
  <r>
    <s v="P021"/>
    <n v="69"/>
    <x v="7"/>
    <n v="17"/>
    <s v="Irregular"/>
    <s v="Firm"/>
    <s v="No"/>
    <s v="No"/>
    <s v="No"/>
    <x v="0"/>
    <x v="0"/>
    <n v="1"/>
  </r>
  <r>
    <s v="P022"/>
    <n v="32"/>
    <x v="2"/>
    <n v="20"/>
    <s v="Irregular"/>
    <s v="Smooth"/>
    <s v="Yes"/>
    <s v="Yes"/>
    <s v="No"/>
    <x v="0"/>
    <x v="1"/>
    <n v="1"/>
  </r>
  <r>
    <s v="P023"/>
    <n v="25"/>
    <x v="3"/>
    <n v="9"/>
    <s v="Round"/>
    <s v="Hard"/>
    <s v="Yes"/>
    <s v="Yes"/>
    <s v="Yes"/>
    <x v="1"/>
    <x v="1"/>
    <n v="1"/>
  </r>
  <r>
    <s v="P024"/>
    <n v="40"/>
    <x v="7"/>
    <n v="22"/>
    <s v="Round"/>
    <s v="Firm"/>
    <s v="Yes"/>
    <s v="No"/>
    <s v="Yes"/>
    <x v="1"/>
    <x v="2"/>
    <n v="1"/>
  </r>
  <r>
    <s v="P025"/>
    <n v="51"/>
    <x v="5"/>
    <n v="17"/>
    <s v="Oval"/>
    <s v="Hard"/>
    <s v="Yes"/>
    <s v="Yes"/>
    <s v="No"/>
    <x v="0"/>
    <x v="0"/>
    <n v="1"/>
  </r>
  <r>
    <s v="P026"/>
    <n v="28"/>
    <x v="0"/>
    <n v="11"/>
    <s v="Round"/>
    <s v="Smooth"/>
    <s v="No"/>
    <s v="Yes"/>
    <s v="No"/>
    <x v="1"/>
    <x v="1"/>
    <n v="1"/>
  </r>
  <r>
    <s v="P027"/>
    <n v="37"/>
    <x v="4"/>
    <n v="39"/>
    <s v="Oval"/>
    <s v="Firm"/>
    <s v="Yes"/>
    <s v="No"/>
    <s v="No"/>
    <x v="1"/>
    <x v="2"/>
    <n v="1"/>
  </r>
  <r>
    <s v="P028"/>
    <n v="40"/>
    <x v="6"/>
    <n v="9"/>
    <s v="Round"/>
    <s v="Smooth"/>
    <s v="Yes"/>
    <s v="No"/>
    <s v="Yes"/>
    <x v="0"/>
    <x v="2"/>
    <n v="1"/>
  </r>
  <r>
    <s v="P029"/>
    <n v="35"/>
    <x v="5"/>
    <n v="31"/>
    <s v="Round"/>
    <s v="Smooth"/>
    <s v="No"/>
    <s v="No"/>
    <s v="Yes"/>
    <x v="1"/>
    <x v="2"/>
    <n v="1"/>
  </r>
  <r>
    <s v="P030"/>
    <n v="49"/>
    <x v="1"/>
    <n v="5"/>
    <s v="Oval"/>
    <s v="Hard"/>
    <s v="No"/>
    <s v="No"/>
    <s v="No"/>
    <x v="0"/>
    <x v="2"/>
    <n v="1"/>
  </r>
  <r>
    <s v="P031"/>
    <n v="60"/>
    <x v="2"/>
    <n v="36"/>
    <s v="Round"/>
    <s v="Hard"/>
    <s v="Yes"/>
    <s v="Yes"/>
    <s v="No"/>
    <x v="1"/>
    <x v="0"/>
    <n v="1"/>
  </r>
  <r>
    <s v="P032"/>
    <n v="59"/>
    <x v="7"/>
    <n v="8"/>
    <s v="Irregular"/>
    <s v="Hard"/>
    <s v="Yes"/>
    <s v="No"/>
    <s v="Yes"/>
    <x v="0"/>
    <x v="0"/>
    <n v="1"/>
  </r>
  <r>
    <s v="P033"/>
    <n v="35"/>
    <x v="2"/>
    <n v="8"/>
    <s v="Oval"/>
    <s v="Smooth"/>
    <s v="Yes"/>
    <s v="Yes"/>
    <s v="Yes"/>
    <x v="1"/>
    <x v="2"/>
    <n v="1"/>
  </r>
  <r>
    <s v="P034"/>
    <n v="61"/>
    <x v="3"/>
    <n v="20"/>
    <s v="Oval"/>
    <s v="Smooth"/>
    <s v="Yes"/>
    <s v="Yes"/>
    <s v="No"/>
    <x v="1"/>
    <x v="0"/>
    <n v="1"/>
  </r>
  <r>
    <s v="P035"/>
    <n v="67"/>
    <x v="4"/>
    <n v="25"/>
    <s v="Irregular"/>
    <s v="Hard"/>
    <s v="No"/>
    <s v="Yes"/>
    <s v="No"/>
    <x v="1"/>
    <x v="0"/>
    <n v="1"/>
  </r>
  <r>
    <s v="P036"/>
    <n v="44"/>
    <x v="7"/>
    <n v="34"/>
    <s v="Irregular"/>
    <s v="Hard"/>
    <s v="Yes"/>
    <s v="No"/>
    <s v="Yes"/>
    <x v="1"/>
    <x v="2"/>
    <n v="1"/>
  </r>
  <r>
    <s v="P037"/>
    <n v="31"/>
    <x v="0"/>
    <n v="9"/>
    <s v="Round"/>
    <s v="Firm"/>
    <s v="No"/>
    <s v="Yes"/>
    <s v="Yes"/>
    <x v="1"/>
    <x v="1"/>
    <n v="1"/>
  </r>
  <r>
    <s v="P038"/>
    <n v="43"/>
    <x v="1"/>
    <n v="15"/>
    <s v="Irregular"/>
    <s v="Smooth"/>
    <s v="No"/>
    <s v="No"/>
    <s v="Yes"/>
    <x v="0"/>
    <x v="2"/>
    <n v="1"/>
  </r>
  <r>
    <s v="P039"/>
    <n v="33"/>
    <x v="1"/>
    <n v="21"/>
    <s v="Oval"/>
    <s v="Hard"/>
    <s v="Yes"/>
    <s v="Yes"/>
    <s v="Yes"/>
    <x v="1"/>
    <x v="1"/>
    <n v="1"/>
  </r>
  <r>
    <s v="P040"/>
    <n v="38"/>
    <x v="1"/>
    <n v="26"/>
    <s v="Round"/>
    <s v="Smooth"/>
    <s v="No"/>
    <s v="Yes"/>
    <s v="No"/>
    <x v="1"/>
    <x v="2"/>
    <n v="1"/>
  </r>
  <r>
    <s v="P041"/>
    <n v="65"/>
    <x v="3"/>
    <n v="32"/>
    <s v="Round"/>
    <s v="Hard"/>
    <s v="Yes"/>
    <s v="No"/>
    <s v="Yes"/>
    <x v="1"/>
    <x v="0"/>
    <n v="1"/>
  </r>
  <r>
    <s v="P042"/>
    <n v="41"/>
    <x v="0"/>
    <n v="15"/>
    <s v="Round"/>
    <s v="Hard"/>
    <s v="No"/>
    <s v="No"/>
    <s v="Yes"/>
    <x v="0"/>
    <x v="2"/>
    <n v="1"/>
  </r>
  <r>
    <s v="P043"/>
    <n v="34"/>
    <x v="5"/>
    <n v="39"/>
    <s v="Round"/>
    <s v="Smooth"/>
    <s v="No"/>
    <s v="Yes"/>
    <s v="Yes"/>
    <x v="1"/>
    <x v="1"/>
    <n v="1"/>
  </r>
  <r>
    <s v="P044"/>
    <n v="44"/>
    <x v="2"/>
    <n v="28"/>
    <s v="Irregular"/>
    <s v="Smooth"/>
    <s v="No"/>
    <s v="Yes"/>
    <s v="Yes"/>
    <x v="1"/>
    <x v="2"/>
    <n v="1"/>
  </r>
  <r>
    <s v="P045"/>
    <n v="47"/>
    <x v="4"/>
    <n v="40"/>
    <s v="Round"/>
    <s v="Firm"/>
    <s v="Yes"/>
    <s v="No"/>
    <s v="Yes"/>
    <x v="1"/>
    <x v="2"/>
    <n v="1"/>
  </r>
  <r>
    <s v="P046"/>
    <n v="26"/>
    <x v="1"/>
    <n v="16"/>
    <s v="Round"/>
    <s v="Hard"/>
    <s v="No"/>
    <s v="No"/>
    <s v="Yes"/>
    <x v="0"/>
    <x v="1"/>
    <n v="1"/>
  </r>
  <r>
    <s v="P047"/>
    <n v="31"/>
    <x v="2"/>
    <n v="29"/>
    <s v="Oval"/>
    <s v="Firm"/>
    <s v="No"/>
    <s v="Yes"/>
    <s v="Yes"/>
    <x v="1"/>
    <x v="1"/>
    <n v="1"/>
  </r>
  <r>
    <s v="P048"/>
    <n v="44"/>
    <x v="1"/>
    <n v="19"/>
    <s v="Round"/>
    <s v="Firm"/>
    <s v="Yes"/>
    <s v="Yes"/>
    <s v="Yes"/>
    <x v="0"/>
    <x v="2"/>
    <n v="1"/>
  </r>
  <r>
    <s v="P049"/>
    <n v="47"/>
    <x v="0"/>
    <n v="37"/>
    <s v="Oval"/>
    <s v="Smooth"/>
    <s v="No"/>
    <s v="No"/>
    <s v="Yes"/>
    <x v="1"/>
    <x v="2"/>
    <n v="1"/>
  </r>
  <r>
    <s v="P050"/>
    <n v="62"/>
    <x v="3"/>
    <n v="21"/>
    <s v="Irregular"/>
    <s v="Firm"/>
    <s v="Yes"/>
    <s v="Yes"/>
    <s v="No"/>
    <x v="1"/>
    <x v="0"/>
    <n v="1"/>
  </r>
  <r>
    <s v="P051"/>
    <n v="52"/>
    <x v="1"/>
    <n v="37"/>
    <s v="Round"/>
    <s v="Hard"/>
    <s v="No"/>
    <s v="Yes"/>
    <s v="Yes"/>
    <x v="1"/>
    <x v="0"/>
    <n v="1"/>
  </r>
  <r>
    <s v="P052"/>
    <n v="52"/>
    <x v="3"/>
    <n v="5"/>
    <s v="Irregular"/>
    <s v="Firm"/>
    <s v="No"/>
    <s v="Yes"/>
    <s v="No"/>
    <x v="0"/>
    <x v="0"/>
    <n v="1"/>
  </r>
  <r>
    <s v="P053"/>
    <n v="67"/>
    <x v="3"/>
    <n v="12"/>
    <s v="Oval"/>
    <s v="Hard"/>
    <s v="No"/>
    <s v="No"/>
    <s v="No"/>
    <x v="0"/>
    <x v="0"/>
    <n v="1"/>
  </r>
  <r>
    <s v="P054"/>
    <n v="43"/>
    <x v="5"/>
    <n v="40"/>
    <s v="Irregular"/>
    <s v="Hard"/>
    <s v="Yes"/>
    <s v="Yes"/>
    <s v="No"/>
    <x v="1"/>
    <x v="2"/>
    <n v="1"/>
  </r>
  <r>
    <s v="P055"/>
    <n v="36"/>
    <x v="1"/>
    <n v="24"/>
    <s v="Round"/>
    <s v="Firm"/>
    <s v="Yes"/>
    <s v="No"/>
    <s v="No"/>
    <x v="1"/>
    <x v="2"/>
    <n v="1"/>
  </r>
  <r>
    <s v="P056"/>
    <n v="62"/>
    <x v="2"/>
    <n v="25"/>
    <s v="Irregular"/>
    <s v="Firm"/>
    <s v="No"/>
    <s v="No"/>
    <s v="No"/>
    <x v="1"/>
    <x v="0"/>
    <n v="1"/>
  </r>
  <r>
    <s v="P057"/>
    <n v="35"/>
    <x v="2"/>
    <n v="10"/>
    <s v="Irregular"/>
    <s v="Firm"/>
    <s v="No"/>
    <s v="No"/>
    <s v="Yes"/>
    <x v="0"/>
    <x v="2"/>
    <n v="1"/>
  </r>
  <r>
    <s v="P058"/>
    <n v="39"/>
    <x v="7"/>
    <n v="17"/>
    <s v="Irregular"/>
    <s v="Smooth"/>
    <s v="Yes"/>
    <s v="Yes"/>
    <s v="Yes"/>
    <x v="0"/>
    <x v="2"/>
    <n v="1"/>
  </r>
  <r>
    <s v="P059"/>
    <n v="54"/>
    <x v="5"/>
    <n v="31"/>
    <s v="Round"/>
    <s v="Smooth"/>
    <s v="No"/>
    <s v="Yes"/>
    <s v="No"/>
    <x v="1"/>
    <x v="0"/>
    <n v="1"/>
  </r>
  <r>
    <s v="P060"/>
    <n v="66"/>
    <x v="7"/>
    <n v="5"/>
    <s v="Round"/>
    <s v="Hard"/>
    <s v="No"/>
    <s v="Yes"/>
    <s v="Yes"/>
    <x v="0"/>
    <x v="0"/>
    <n v="1"/>
  </r>
  <r>
    <s v="P061"/>
    <n v="40"/>
    <x v="3"/>
    <n v="12"/>
    <s v="Oval"/>
    <s v="Hard"/>
    <s v="Yes"/>
    <s v="No"/>
    <s v="No"/>
    <x v="0"/>
    <x v="2"/>
    <n v="1"/>
  </r>
  <r>
    <s v="P062"/>
    <n v="57"/>
    <x v="7"/>
    <n v="32"/>
    <s v="Oval"/>
    <s v="Smooth"/>
    <s v="Yes"/>
    <s v="No"/>
    <s v="No"/>
    <x v="1"/>
    <x v="0"/>
    <n v="1"/>
  </r>
  <r>
    <s v="P063"/>
    <n v="65"/>
    <x v="7"/>
    <n v="22"/>
    <s v="Round"/>
    <s v="Hard"/>
    <s v="Yes"/>
    <s v="No"/>
    <s v="No"/>
    <x v="1"/>
    <x v="0"/>
    <n v="1"/>
  </r>
  <r>
    <s v="P064"/>
    <n v="43"/>
    <x v="0"/>
    <n v="20"/>
    <s v="Round"/>
    <s v="Smooth"/>
    <s v="No"/>
    <s v="No"/>
    <s v="No"/>
    <x v="0"/>
    <x v="2"/>
    <n v="1"/>
  </r>
  <r>
    <s v="P065"/>
    <n v="39"/>
    <x v="5"/>
    <n v="29"/>
    <s v="Oval"/>
    <s v="Firm"/>
    <s v="Yes"/>
    <s v="Yes"/>
    <s v="Yes"/>
    <x v="1"/>
    <x v="2"/>
    <n v="1"/>
  </r>
  <r>
    <s v="P066"/>
    <n v="59"/>
    <x v="5"/>
    <n v="34"/>
    <s v="Oval"/>
    <s v="Hard"/>
    <s v="Yes"/>
    <s v="No"/>
    <s v="Yes"/>
    <x v="1"/>
    <x v="0"/>
    <n v="1"/>
  </r>
  <r>
    <s v="P067"/>
    <n v="69"/>
    <x v="3"/>
    <n v="6"/>
    <s v="Oval"/>
    <s v="Firm"/>
    <s v="No"/>
    <s v="No"/>
    <s v="Yes"/>
    <x v="0"/>
    <x v="0"/>
    <n v="1"/>
  </r>
  <r>
    <s v="P068"/>
    <n v="51"/>
    <x v="1"/>
    <n v="39"/>
    <s v="Oval"/>
    <s v="Firm"/>
    <s v="No"/>
    <s v="Yes"/>
    <s v="Yes"/>
    <x v="1"/>
    <x v="0"/>
    <n v="1"/>
  </r>
  <r>
    <s v="P069"/>
    <n v="26"/>
    <x v="7"/>
    <n v="29"/>
    <s v="Round"/>
    <s v="Hard"/>
    <s v="No"/>
    <s v="No"/>
    <s v="Yes"/>
    <x v="1"/>
    <x v="1"/>
    <n v="1"/>
  </r>
  <r>
    <s v="P070"/>
    <n v="59"/>
    <x v="5"/>
    <n v="6"/>
    <s v="Round"/>
    <s v="Firm"/>
    <s v="Yes"/>
    <s v="No"/>
    <s v="Yes"/>
    <x v="0"/>
    <x v="0"/>
    <n v="1"/>
  </r>
  <r>
    <s v="P071"/>
    <n v="36"/>
    <x v="2"/>
    <n v="8"/>
    <s v="Oval"/>
    <s v="Firm"/>
    <s v="No"/>
    <s v="No"/>
    <s v="No"/>
    <x v="0"/>
    <x v="2"/>
    <n v="1"/>
  </r>
  <r>
    <s v="P072"/>
    <n v="46"/>
    <x v="0"/>
    <n v="29"/>
    <s v="Oval"/>
    <s v="Smooth"/>
    <s v="No"/>
    <s v="No"/>
    <s v="No"/>
    <x v="1"/>
    <x v="2"/>
    <n v="1"/>
  </r>
  <r>
    <s v="P073"/>
    <n v="59"/>
    <x v="6"/>
    <n v="8"/>
    <s v="Round"/>
    <s v="Smooth"/>
    <s v="Yes"/>
    <s v="No"/>
    <s v="Yes"/>
    <x v="0"/>
    <x v="0"/>
    <n v="1"/>
  </r>
  <r>
    <s v="P074"/>
    <n v="37"/>
    <x v="0"/>
    <n v="6"/>
    <s v="Irregular"/>
    <s v="Smooth"/>
    <s v="Yes"/>
    <s v="Yes"/>
    <s v="Yes"/>
    <x v="1"/>
    <x v="2"/>
    <n v="1"/>
  </r>
  <r>
    <s v="P075"/>
    <n v="54"/>
    <x v="4"/>
    <n v="21"/>
    <s v="Oval"/>
    <s v="Smooth"/>
    <s v="Yes"/>
    <s v="No"/>
    <s v="Yes"/>
    <x v="1"/>
    <x v="0"/>
    <n v="1"/>
  </r>
  <r>
    <s v="P076"/>
    <n v="62"/>
    <x v="2"/>
    <n v="6"/>
    <s v="Round"/>
    <s v="Hard"/>
    <s v="No"/>
    <s v="No"/>
    <s v="No"/>
    <x v="0"/>
    <x v="0"/>
    <n v="1"/>
  </r>
  <r>
    <s v="P077"/>
    <n v="69"/>
    <x v="6"/>
    <n v="20"/>
    <s v="Oval"/>
    <s v="Hard"/>
    <s v="No"/>
    <s v="Yes"/>
    <s v="Yes"/>
    <x v="1"/>
    <x v="0"/>
    <n v="1"/>
  </r>
  <r>
    <s v="P078"/>
    <n v="52"/>
    <x v="5"/>
    <n v="28"/>
    <s v="Oval"/>
    <s v="Smooth"/>
    <s v="No"/>
    <s v="Yes"/>
    <s v="Yes"/>
    <x v="1"/>
    <x v="0"/>
    <n v="1"/>
  </r>
  <r>
    <s v="P079"/>
    <n v="52"/>
    <x v="4"/>
    <n v="28"/>
    <s v="Irregular"/>
    <s v="Hard"/>
    <s v="Yes"/>
    <s v="No"/>
    <s v="No"/>
    <x v="1"/>
    <x v="0"/>
    <n v="1"/>
  </r>
  <r>
    <s v="P080"/>
    <n v="66"/>
    <x v="1"/>
    <n v="22"/>
    <s v="Oval"/>
    <s v="Smooth"/>
    <s v="No"/>
    <s v="No"/>
    <s v="No"/>
    <x v="1"/>
    <x v="0"/>
    <n v="1"/>
  </r>
  <r>
    <s v="P081"/>
    <n v="30"/>
    <x v="5"/>
    <n v="22"/>
    <s v="Oval"/>
    <s v="Smooth"/>
    <s v="Yes"/>
    <s v="No"/>
    <s v="No"/>
    <x v="1"/>
    <x v="1"/>
    <n v="1"/>
  </r>
  <r>
    <s v="P082"/>
    <n v="56"/>
    <x v="3"/>
    <n v="25"/>
    <s v="Oval"/>
    <s v="Firm"/>
    <s v="No"/>
    <s v="Yes"/>
    <s v="Yes"/>
    <x v="1"/>
    <x v="0"/>
    <n v="1"/>
  </r>
  <r>
    <s v="P083"/>
    <n v="42"/>
    <x v="2"/>
    <n v="22"/>
    <s v="Irregular"/>
    <s v="Firm"/>
    <s v="Yes"/>
    <s v="Yes"/>
    <s v="Yes"/>
    <x v="1"/>
    <x v="2"/>
    <n v="1"/>
  </r>
  <r>
    <s v="P084"/>
    <n v="56"/>
    <x v="7"/>
    <n v="40"/>
    <s v="Round"/>
    <s v="Smooth"/>
    <s v="No"/>
    <s v="Yes"/>
    <s v="No"/>
    <x v="1"/>
    <x v="0"/>
    <n v="1"/>
  </r>
  <r>
    <s v="P085"/>
    <n v="43"/>
    <x v="3"/>
    <n v="19"/>
    <s v="Oval"/>
    <s v="Hard"/>
    <s v="Yes"/>
    <s v="No"/>
    <s v="No"/>
    <x v="0"/>
    <x v="2"/>
    <n v="1"/>
  </r>
  <r>
    <s v="P086"/>
    <n v="58"/>
    <x v="7"/>
    <n v="27"/>
    <s v="Oval"/>
    <s v="Firm"/>
    <s v="No"/>
    <s v="No"/>
    <s v="No"/>
    <x v="1"/>
    <x v="0"/>
    <n v="1"/>
  </r>
  <r>
    <s v="P087"/>
    <n v="41"/>
    <x v="4"/>
    <n v="19"/>
    <s v="Round"/>
    <s v="Smooth"/>
    <s v="Yes"/>
    <s v="Yes"/>
    <s v="No"/>
    <x v="0"/>
    <x v="2"/>
    <n v="1"/>
  </r>
  <r>
    <s v="P088"/>
    <n v="55"/>
    <x v="1"/>
    <n v="22"/>
    <s v="Round"/>
    <s v="Firm"/>
    <s v="Yes"/>
    <s v="No"/>
    <s v="Yes"/>
    <x v="1"/>
    <x v="0"/>
    <n v="1"/>
  </r>
  <r>
    <s v="P089"/>
    <n v="36"/>
    <x v="6"/>
    <n v="24"/>
    <s v="Round"/>
    <s v="Hard"/>
    <s v="Yes"/>
    <s v="Yes"/>
    <s v="No"/>
    <x v="1"/>
    <x v="2"/>
    <n v="1"/>
  </r>
  <r>
    <s v="P090"/>
    <n v="43"/>
    <x v="1"/>
    <n v="13"/>
    <s v="Oval"/>
    <s v="Firm"/>
    <s v="Yes"/>
    <s v="No"/>
    <s v="Yes"/>
    <x v="0"/>
    <x v="2"/>
    <n v="1"/>
  </r>
  <r>
    <s v="P091"/>
    <n v="53"/>
    <x v="7"/>
    <n v="26"/>
    <s v="Round"/>
    <s v="Smooth"/>
    <s v="Yes"/>
    <s v="Yes"/>
    <s v="No"/>
    <x v="1"/>
    <x v="0"/>
    <n v="1"/>
  </r>
  <r>
    <s v="P092"/>
    <n v="50"/>
    <x v="4"/>
    <n v="36"/>
    <s v="Irregular"/>
    <s v="Firm"/>
    <s v="Yes"/>
    <s v="Yes"/>
    <s v="Yes"/>
    <x v="1"/>
    <x v="2"/>
    <n v="1"/>
  </r>
  <r>
    <m/>
    <n v="30"/>
    <x v="5"/>
    <n v="20"/>
    <s v="Oval"/>
    <s v="Firm"/>
    <s v="No"/>
    <s v="Yes"/>
    <s v="Yes"/>
    <x v="1"/>
    <x v="1"/>
    <n v="1"/>
  </r>
  <r>
    <s v="P094"/>
    <n v="44"/>
    <x v="2"/>
    <n v="32"/>
    <s v="Irregular"/>
    <s v="Smooth"/>
    <s v="Yes"/>
    <s v="No"/>
    <s v="Yes"/>
    <x v="1"/>
    <x v="2"/>
    <n v="1"/>
  </r>
  <r>
    <s v="P095"/>
    <n v="41"/>
    <x v="4"/>
    <n v="10"/>
    <s v="Round"/>
    <s v="Firm"/>
    <s v="Yes"/>
    <s v="Yes"/>
    <s v="Yes"/>
    <x v="1"/>
    <x v="2"/>
    <n v="1"/>
  </r>
  <r>
    <s v="P096"/>
    <n v="53"/>
    <x v="1"/>
    <n v="35"/>
    <s v="Irregular"/>
    <s v="Firm"/>
    <s v="Yes"/>
    <s v="No"/>
    <s v="Yes"/>
    <x v="1"/>
    <x v="0"/>
    <n v="1"/>
  </r>
  <r>
    <s v="P097"/>
    <n v="69"/>
    <x v="2"/>
    <n v="34"/>
    <s v="Oval"/>
    <s v="Smooth"/>
    <s v="Yes"/>
    <s v="Yes"/>
    <s v="No"/>
    <x v="1"/>
    <x v="0"/>
    <n v="1"/>
  </r>
  <r>
    <s v="P098"/>
    <n v="59"/>
    <x v="4"/>
    <n v="19"/>
    <s v="Oval"/>
    <s v="Hard"/>
    <s v="No"/>
    <s v="Yes"/>
    <s v="Yes"/>
    <x v="0"/>
    <x v="0"/>
    <n v="1"/>
  </r>
  <r>
    <s v="P099"/>
    <n v="61"/>
    <x v="1"/>
    <n v="23"/>
    <s v="Irregular"/>
    <s v="Firm"/>
    <s v="Yes"/>
    <s v="No"/>
    <s v="No"/>
    <x v="1"/>
    <x v="0"/>
    <n v="1"/>
  </r>
  <r>
    <s v="P100"/>
    <n v="42"/>
    <x v="6"/>
    <n v="37"/>
    <s v="Oval"/>
    <s v="Hard"/>
    <s v="No"/>
    <s v="No"/>
    <s v="Yes"/>
    <x v="1"/>
    <x v="2"/>
    <n v="1"/>
  </r>
  <r>
    <s v="P101"/>
    <n v="45"/>
    <x v="6"/>
    <n v="21"/>
    <s v="Irregular"/>
    <s v="Firm"/>
    <s v="Yes"/>
    <s v="Yes"/>
    <s v="Yes"/>
    <x v="1"/>
    <x v="2"/>
    <n v="1"/>
  </r>
  <r>
    <s v="P102"/>
    <n v="61"/>
    <x v="4"/>
    <n v="7"/>
    <s v="Irregular"/>
    <s v="Firm"/>
    <s v="No"/>
    <s v="Yes"/>
    <s v="No"/>
    <x v="1"/>
    <x v="0"/>
    <n v="1"/>
  </r>
  <r>
    <s v="P103"/>
    <n v="65"/>
    <x v="5"/>
    <n v="36"/>
    <s v="Oval"/>
    <s v="Firm"/>
    <s v="No"/>
    <s v="Yes"/>
    <s v="No"/>
    <x v="1"/>
    <x v="0"/>
    <n v="1"/>
  </r>
  <r>
    <s v="P104"/>
    <n v="67"/>
    <x v="1"/>
    <n v="11"/>
    <s v="Irregular"/>
    <s v="Firm"/>
    <s v="No"/>
    <s v="Yes"/>
    <s v="No"/>
    <x v="1"/>
    <x v="0"/>
    <n v="1"/>
  </r>
  <r>
    <s v="P105"/>
    <n v="60"/>
    <x v="1"/>
    <n v="7"/>
    <s v="Oval"/>
    <s v="Smooth"/>
    <s v="Yes"/>
    <s v="No"/>
    <s v="No"/>
    <x v="0"/>
    <x v="0"/>
    <n v="1"/>
  </r>
  <r>
    <s v="P106"/>
    <n v="50"/>
    <x v="6"/>
    <n v="37"/>
    <s v="Round"/>
    <s v="Hard"/>
    <s v="No"/>
    <s v="Yes"/>
    <s v="No"/>
    <x v="1"/>
    <x v="2"/>
    <n v="1"/>
  </r>
  <r>
    <s v="P107"/>
    <n v="48"/>
    <x v="1"/>
    <n v="36"/>
    <s v="Irregular"/>
    <s v="Smooth"/>
    <s v="Yes"/>
    <s v="No"/>
    <s v="Yes"/>
    <x v="1"/>
    <x v="2"/>
    <n v="1"/>
  </r>
  <r>
    <s v="P108"/>
    <n v="43"/>
    <x v="2"/>
    <n v="33"/>
    <s v="Irregular"/>
    <s v="Smooth"/>
    <s v="Yes"/>
    <s v="No"/>
    <s v="Yes"/>
    <x v="1"/>
    <x v="2"/>
    <n v="1"/>
  </r>
  <r>
    <s v="P109"/>
    <n v="44"/>
    <x v="2"/>
    <n v="40"/>
    <s v="Round"/>
    <s v="Firm"/>
    <s v="No"/>
    <s v="Yes"/>
    <s v="Yes"/>
    <x v="1"/>
    <x v="2"/>
    <n v="1"/>
  </r>
  <r>
    <s v="P110"/>
    <n v="32"/>
    <x v="5"/>
    <n v="14"/>
    <s v="Oval"/>
    <s v="Firm"/>
    <s v="No"/>
    <s v="No"/>
    <s v="No"/>
    <x v="0"/>
    <x v="1"/>
    <n v="1"/>
  </r>
  <r>
    <s v="P111"/>
    <n v="40"/>
    <x v="4"/>
    <n v="34"/>
    <s v="Round"/>
    <s v="Firm"/>
    <s v="No"/>
    <s v="Yes"/>
    <s v="Yes"/>
    <x v="1"/>
    <x v="2"/>
    <n v="1"/>
  </r>
  <r>
    <s v="P112"/>
    <n v="51"/>
    <x v="1"/>
    <n v="26"/>
    <s v="Irregular"/>
    <s v="Hard"/>
    <s v="Yes"/>
    <s v="No"/>
    <s v="No"/>
    <x v="1"/>
    <x v="0"/>
    <n v="1"/>
  </r>
  <r>
    <s v="P113"/>
    <n v="67"/>
    <x v="3"/>
    <n v="36"/>
    <s v="Oval"/>
    <s v="Hard"/>
    <s v="No"/>
    <s v="Yes"/>
    <s v="No"/>
    <x v="1"/>
    <x v="0"/>
    <n v="1"/>
  </r>
  <r>
    <s v="P114"/>
    <n v="59"/>
    <x v="2"/>
    <n v="29"/>
    <s v="Irregular"/>
    <s v="Firm"/>
    <s v="No"/>
    <s v="No"/>
    <s v="Yes"/>
    <x v="1"/>
    <x v="0"/>
    <n v="1"/>
  </r>
  <r>
    <s v="P115"/>
    <n v="39"/>
    <x v="5"/>
    <n v="31"/>
    <s v="Oval"/>
    <s v="Hard"/>
    <s v="No"/>
    <s v="Yes"/>
    <s v="No"/>
    <x v="1"/>
    <x v="2"/>
    <n v="1"/>
  </r>
  <r>
    <s v="P116"/>
    <n v="66"/>
    <x v="3"/>
    <n v="14"/>
    <s v="Round"/>
    <s v="Firm"/>
    <s v="Yes"/>
    <s v="No"/>
    <s v="Yes"/>
    <x v="0"/>
    <x v="0"/>
    <n v="1"/>
  </r>
  <r>
    <s v="P117"/>
    <n v="31"/>
    <x v="5"/>
    <n v="38"/>
    <s v="Irregular"/>
    <s v="Smooth"/>
    <s v="Yes"/>
    <s v="No"/>
    <s v="Yes"/>
    <x v="1"/>
    <x v="1"/>
    <n v="1"/>
  </r>
  <r>
    <s v="P118"/>
    <n v="29"/>
    <x v="0"/>
    <n v="35"/>
    <s v="Oval"/>
    <s v="Hard"/>
    <s v="No"/>
    <s v="No"/>
    <s v="No"/>
    <x v="1"/>
    <x v="1"/>
    <n v="1"/>
  </r>
  <r>
    <s v="P119"/>
    <n v="59"/>
    <x v="0"/>
    <n v="29"/>
    <s v="Round"/>
    <s v="Hard"/>
    <s v="No"/>
    <s v="No"/>
    <s v="Yes"/>
    <x v="1"/>
    <x v="0"/>
    <n v="1"/>
  </r>
  <r>
    <s v="P120"/>
    <n v="68"/>
    <x v="0"/>
    <n v="23"/>
    <s v="Irregular"/>
    <s v="Hard"/>
    <s v="Yes"/>
    <s v="Yes"/>
    <s v="No"/>
    <x v="1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7CF0AC-6246-41A3-9BE8-BE0AFDB6E09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1">
    <pivotField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Patients" fld="1" subtotal="count" baseField="9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F4470-1CBC-4298-906A-28501938D245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7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4">
        <item sd="0" x="2"/>
        <item sd="0" x="0"/>
        <item sd="0" x="1"/>
        <item t="default" sd="0"/>
      </items>
    </pivotField>
    <pivotField dataField="1" showAll="0"/>
  </pivotFields>
  <rowFields count="2">
    <field x="10"/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ount" fld="11" baseField="0" baseItem="0"/>
  </dataFields>
  <chartFormats count="1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EF9AF-00B6-49AD-983B-495FA06AD153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3:B12" firstHeaderRow="1" firstDataRow="1" firstDataCol="1"/>
  <pivotFields count="12">
    <pivotField showAll="0"/>
    <pivotField showAll="0"/>
    <pivotField axis="axisRow" showAll="0">
      <items count="9">
        <item x="1"/>
        <item x="4"/>
        <item x="0"/>
        <item x="6"/>
        <item x="7"/>
        <item x="2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Count" fld="11" baseField="0" baseItem="0"/>
  </dataFields>
  <chartFormats count="1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C894AB-BB84-4D9A-9E14-8986A0A6198F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3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</pivotFields>
  <rowFields count="2">
    <field x="10"/>
    <field x="9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Sum of Count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0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1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C2EC-F17B-4352-BC02-93A451749065}">
  <dimension ref="A3:B6"/>
  <sheetViews>
    <sheetView tabSelected="1" zoomScale="85" zoomScaleNormal="85" workbookViewId="0">
      <selection activeCell="B4" sqref="B4"/>
    </sheetView>
  </sheetViews>
  <sheetFormatPr defaultRowHeight="15" x14ac:dyDescent="0.25"/>
  <cols>
    <col min="1" max="1" width="13.140625" bestFit="1" customWidth="1"/>
    <col min="2" max="2" width="16.42578125" bestFit="1" customWidth="1"/>
  </cols>
  <sheetData>
    <row r="3" spans="1:2" x14ac:dyDescent="0.25">
      <c r="A3" s="1" t="s">
        <v>147</v>
      </c>
      <c r="B3" t="s">
        <v>149</v>
      </c>
    </row>
    <row r="4" spans="1:2" x14ac:dyDescent="0.25">
      <c r="A4" s="2" t="s">
        <v>16</v>
      </c>
      <c r="B4">
        <v>33</v>
      </c>
    </row>
    <row r="5" spans="1:2" x14ac:dyDescent="0.25">
      <c r="A5" s="2" t="s">
        <v>22</v>
      </c>
      <c r="B5">
        <v>87</v>
      </c>
    </row>
    <row r="6" spans="1:2" x14ac:dyDescent="0.25">
      <c r="A6" s="2" t="s">
        <v>148</v>
      </c>
      <c r="B6">
        <v>120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5E0B9-F345-436D-B454-31C19D36D905}">
  <dimension ref="A3:B7"/>
  <sheetViews>
    <sheetView zoomScaleNormal="100" workbookViewId="0">
      <selection activeCell="O18" sqref="O18"/>
    </sheetView>
  </sheetViews>
  <sheetFormatPr defaultRowHeight="15" x14ac:dyDescent="0.25"/>
  <cols>
    <col min="1" max="1" width="15.140625" bestFit="1" customWidth="1"/>
    <col min="2" max="2" width="12.85546875" bestFit="1" customWidth="1"/>
  </cols>
  <sheetData>
    <row r="3" spans="1:2" x14ac:dyDescent="0.25">
      <c r="A3" s="1" t="s">
        <v>147</v>
      </c>
      <c r="B3" t="s">
        <v>155</v>
      </c>
    </row>
    <row r="4" spans="1:2" x14ac:dyDescent="0.25">
      <c r="A4" s="2" t="s">
        <v>150</v>
      </c>
      <c r="B4" s="4">
        <v>50</v>
      </c>
    </row>
    <row r="5" spans="1:2" x14ac:dyDescent="0.25">
      <c r="A5" s="2" t="s">
        <v>154</v>
      </c>
      <c r="B5" s="4">
        <v>54</v>
      </c>
    </row>
    <row r="6" spans="1:2" x14ac:dyDescent="0.25">
      <c r="A6" s="2" t="s">
        <v>151</v>
      </c>
      <c r="B6" s="4">
        <v>16</v>
      </c>
    </row>
    <row r="7" spans="1:2" x14ac:dyDescent="0.25">
      <c r="A7" s="2" t="s">
        <v>148</v>
      </c>
      <c r="B7" s="4">
        <v>120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C8DA-9D6C-4267-84F4-AA1CFFD99891}">
  <dimension ref="A3:B12"/>
  <sheetViews>
    <sheetView workbookViewId="0">
      <selection activeCell="M21" sqref="M21"/>
    </sheetView>
  </sheetViews>
  <sheetFormatPr defaultRowHeight="15" x14ac:dyDescent="0.25"/>
  <cols>
    <col min="1" max="1" width="13.140625" bestFit="1" customWidth="1"/>
    <col min="2" max="2" width="12.85546875" bestFit="1" customWidth="1"/>
  </cols>
  <sheetData>
    <row r="3" spans="1:2" x14ac:dyDescent="0.25">
      <c r="A3" s="1" t="s">
        <v>147</v>
      </c>
      <c r="B3" t="s">
        <v>155</v>
      </c>
    </row>
    <row r="4" spans="1:2" x14ac:dyDescent="0.25">
      <c r="A4" s="2" t="s">
        <v>21</v>
      </c>
      <c r="B4" s="4">
        <v>21</v>
      </c>
    </row>
    <row r="5" spans="1:2" x14ac:dyDescent="0.25">
      <c r="A5" s="2" t="s">
        <v>32</v>
      </c>
      <c r="B5" s="4">
        <v>13</v>
      </c>
    </row>
    <row r="6" spans="1:2" x14ac:dyDescent="0.25">
      <c r="A6" s="2" t="s">
        <v>11</v>
      </c>
      <c r="B6" s="4">
        <v>14</v>
      </c>
    </row>
    <row r="7" spans="1:2" x14ac:dyDescent="0.25">
      <c r="A7" s="2" t="s">
        <v>44</v>
      </c>
      <c r="B7" s="4">
        <v>8</v>
      </c>
    </row>
    <row r="8" spans="1:2" x14ac:dyDescent="0.25">
      <c r="A8" s="2" t="s">
        <v>46</v>
      </c>
      <c r="B8" s="4">
        <v>13</v>
      </c>
    </row>
    <row r="9" spans="1:2" x14ac:dyDescent="0.25">
      <c r="A9" s="2" t="s">
        <v>24</v>
      </c>
      <c r="B9" s="4">
        <v>21</v>
      </c>
    </row>
    <row r="10" spans="1:2" x14ac:dyDescent="0.25">
      <c r="A10" s="2" t="s">
        <v>39</v>
      </c>
      <c r="B10" s="4">
        <v>17</v>
      </c>
    </row>
    <row r="11" spans="1:2" x14ac:dyDescent="0.25">
      <c r="A11" s="2" t="s">
        <v>30</v>
      </c>
      <c r="B11" s="4">
        <v>13</v>
      </c>
    </row>
    <row r="12" spans="1:2" x14ac:dyDescent="0.25">
      <c r="A12" s="2" t="s">
        <v>148</v>
      </c>
      <c r="B12" s="4">
        <v>120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C426-EE80-4C9F-BBF2-8EA769D5ADF4}">
  <dimension ref="A3:B13"/>
  <sheetViews>
    <sheetView workbookViewId="0">
      <selection activeCell="M17" sqref="M17"/>
    </sheetView>
  </sheetViews>
  <sheetFormatPr defaultRowHeight="15" x14ac:dyDescent="0.25"/>
  <cols>
    <col min="1" max="1" width="15.140625" bestFit="1" customWidth="1"/>
    <col min="2" max="2" width="12.85546875" bestFit="1" customWidth="1"/>
  </cols>
  <sheetData>
    <row r="3" spans="1:2" x14ac:dyDescent="0.25">
      <c r="A3" s="1" t="s">
        <v>147</v>
      </c>
      <c r="B3" t="s">
        <v>155</v>
      </c>
    </row>
    <row r="4" spans="1:2" x14ac:dyDescent="0.25">
      <c r="A4" s="2" t="s">
        <v>150</v>
      </c>
      <c r="B4" s="4">
        <v>50</v>
      </c>
    </row>
    <row r="5" spans="1:2" x14ac:dyDescent="0.25">
      <c r="A5" s="3" t="s">
        <v>16</v>
      </c>
      <c r="B5" s="4">
        <v>14</v>
      </c>
    </row>
    <row r="6" spans="1:2" x14ac:dyDescent="0.25">
      <c r="A6" s="3" t="s">
        <v>22</v>
      </c>
      <c r="B6" s="4">
        <v>36</v>
      </c>
    </row>
    <row r="7" spans="1:2" x14ac:dyDescent="0.25">
      <c r="A7" s="2" t="s">
        <v>154</v>
      </c>
      <c r="B7" s="4">
        <v>54</v>
      </c>
    </row>
    <row r="8" spans="1:2" x14ac:dyDescent="0.25">
      <c r="A8" s="3" t="s">
        <v>16</v>
      </c>
      <c r="B8" s="4">
        <v>15</v>
      </c>
    </row>
    <row r="9" spans="1:2" x14ac:dyDescent="0.25">
      <c r="A9" s="3" t="s">
        <v>22</v>
      </c>
      <c r="B9" s="4">
        <v>39</v>
      </c>
    </row>
    <row r="10" spans="1:2" x14ac:dyDescent="0.25">
      <c r="A10" s="2" t="s">
        <v>151</v>
      </c>
      <c r="B10" s="4">
        <v>16</v>
      </c>
    </row>
    <row r="11" spans="1:2" x14ac:dyDescent="0.25">
      <c r="A11" s="3" t="s">
        <v>16</v>
      </c>
      <c r="B11" s="4">
        <v>4</v>
      </c>
    </row>
    <row r="12" spans="1:2" x14ac:dyDescent="0.25">
      <c r="A12" s="3" t="s">
        <v>22</v>
      </c>
      <c r="B12" s="4">
        <v>12</v>
      </c>
    </row>
    <row r="13" spans="1:2" x14ac:dyDescent="0.25">
      <c r="A13" s="2" t="s">
        <v>148</v>
      </c>
      <c r="B13" s="4">
        <v>120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D2B98-8BB8-4CE5-8231-F2FED97CC68F}">
  <dimension ref="A1:L121"/>
  <sheetViews>
    <sheetView zoomScale="85" zoomScaleNormal="85" workbookViewId="0">
      <selection activeCell="F6" sqref="F6"/>
    </sheetView>
  </sheetViews>
  <sheetFormatPr defaultRowHeight="15" x14ac:dyDescent="0.25"/>
  <cols>
    <col min="1" max="1" width="12.28515625" customWidth="1"/>
    <col min="3" max="3" width="13.7109375" customWidth="1"/>
    <col min="4" max="4" width="17.7109375" customWidth="1"/>
    <col min="5" max="5" width="13.7109375" customWidth="1"/>
    <col min="6" max="6" width="13.85546875" customWidth="1"/>
    <col min="7" max="7" width="11.85546875" customWidth="1"/>
    <col min="8" max="8" width="13.85546875" customWidth="1"/>
    <col min="9" max="9" width="20.140625" customWidth="1"/>
    <col min="10" max="10" width="12.140625" customWidth="1"/>
    <col min="11" max="11" width="17.140625" customWidth="1"/>
    <col min="12" max="12" width="18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152</v>
      </c>
      <c r="L1" t="s">
        <v>153</v>
      </c>
    </row>
    <row r="2" spans="1:12" x14ac:dyDescent="0.25">
      <c r="A2" t="s">
        <v>10</v>
      </c>
      <c r="B2">
        <v>65</v>
      </c>
      <c r="C2" t="s">
        <v>11</v>
      </c>
      <c r="D2">
        <v>12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  <c r="J2" t="s">
        <v>16</v>
      </c>
      <c r="K2" t="str">
        <f>IF(B2&lt;35,"Young Adult",IF(B2&lt;=50,"Middle Age","Older women"))</f>
        <v>Older women</v>
      </c>
      <c r="L2">
        <v>1</v>
      </c>
    </row>
    <row r="3" spans="1:12" x14ac:dyDescent="0.25">
      <c r="A3" t="s">
        <v>17</v>
      </c>
      <c r="B3">
        <v>59</v>
      </c>
      <c r="C3" t="s">
        <v>11</v>
      </c>
      <c r="D3">
        <v>10</v>
      </c>
      <c r="E3" t="s">
        <v>18</v>
      </c>
      <c r="F3" t="s">
        <v>19</v>
      </c>
      <c r="G3" t="s">
        <v>15</v>
      </c>
      <c r="H3" t="s">
        <v>14</v>
      </c>
      <c r="I3" t="s">
        <v>15</v>
      </c>
      <c r="J3" t="s">
        <v>16</v>
      </c>
      <c r="K3" t="str">
        <f t="shared" ref="K3:K66" si="0">IF(B3&lt;35,"Young Adult",IF(B3&lt;=50,"Middle Age","Older women"))</f>
        <v>Older women</v>
      </c>
      <c r="L3">
        <v>1</v>
      </c>
    </row>
    <row r="4" spans="1:12" x14ac:dyDescent="0.25">
      <c r="A4" t="s">
        <v>20</v>
      </c>
      <c r="B4">
        <v>57</v>
      </c>
      <c r="C4" t="s">
        <v>21</v>
      </c>
      <c r="D4">
        <v>6</v>
      </c>
      <c r="E4" t="s">
        <v>18</v>
      </c>
      <c r="F4" t="s">
        <v>19</v>
      </c>
      <c r="G4" t="s">
        <v>14</v>
      </c>
      <c r="H4" t="s">
        <v>15</v>
      </c>
      <c r="I4" t="s">
        <v>15</v>
      </c>
      <c r="J4" t="s">
        <v>22</v>
      </c>
      <c r="K4" t="str">
        <f t="shared" si="0"/>
        <v>Older women</v>
      </c>
      <c r="L4">
        <v>1</v>
      </c>
    </row>
    <row r="5" spans="1:12" x14ac:dyDescent="0.25">
      <c r="A5" t="s">
        <v>23</v>
      </c>
      <c r="B5">
        <v>69</v>
      </c>
      <c r="C5" t="s">
        <v>24</v>
      </c>
      <c r="D5">
        <v>32</v>
      </c>
      <c r="E5" t="s">
        <v>25</v>
      </c>
      <c r="F5" t="s">
        <v>19</v>
      </c>
      <c r="G5" t="s">
        <v>14</v>
      </c>
      <c r="H5" t="s">
        <v>14</v>
      </c>
      <c r="I5" t="s">
        <v>15</v>
      </c>
      <c r="J5" t="s">
        <v>22</v>
      </c>
      <c r="K5" t="str">
        <f t="shared" si="0"/>
        <v>Older women</v>
      </c>
      <c r="L5">
        <v>1</v>
      </c>
    </row>
    <row r="6" spans="1:12" x14ac:dyDescent="0.25">
      <c r="A6" t="s">
        <v>26</v>
      </c>
      <c r="B6">
        <v>30</v>
      </c>
      <c r="C6" t="s">
        <v>21</v>
      </c>
      <c r="D6">
        <v>29</v>
      </c>
      <c r="E6" t="s">
        <v>18</v>
      </c>
      <c r="F6" t="s">
        <v>13</v>
      </c>
      <c r="G6" t="s">
        <v>14</v>
      </c>
      <c r="H6" t="s">
        <v>15</v>
      </c>
      <c r="I6" t="s">
        <v>14</v>
      </c>
      <c r="J6" t="s">
        <v>22</v>
      </c>
      <c r="K6" t="str">
        <f t="shared" si="0"/>
        <v>Young Adult</v>
      </c>
      <c r="L6">
        <v>1</v>
      </c>
    </row>
    <row r="7" spans="1:12" x14ac:dyDescent="0.25">
      <c r="A7" t="s">
        <v>27</v>
      </c>
      <c r="B7">
        <v>54</v>
      </c>
      <c r="C7" t="s">
        <v>21</v>
      </c>
      <c r="D7">
        <v>39</v>
      </c>
      <c r="E7" t="s">
        <v>12</v>
      </c>
      <c r="F7" t="s">
        <v>13</v>
      </c>
      <c r="G7" t="s">
        <v>14</v>
      </c>
      <c r="H7" t="s">
        <v>15</v>
      </c>
      <c r="I7" t="s">
        <v>15</v>
      </c>
      <c r="J7" t="s">
        <v>22</v>
      </c>
      <c r="K7" t="str">
        <f t="shared" si="0"/>
        <v>Older women</v>
      </c>
      <c r="L7">
        <v>1</v>
      </c>
    </row>
    <row r="8" spans="1:12" x14ac:dyDescent="0.25">
      <c r="A8" t="s">
        <v>28</v>
      </c>
      <c r="B8">
        <v>48</v>
      </c>
      <c r="C8" t="s">
        <v>11</v>
      </c>
      <c r="D8">
        <v>17</v>
      </c>
      <c r="E8" t="s">
        <v>18</v>
      </c>
      <c r="F8" t="s">
        <v>19</v>
      </c>
      <c r="G8" t="s">
        <v>15</v>
      </c>
      <c r="H8" t="s">
        <v>15</v>
      </c>
      <c r="I8" t="s">
        <v>15</v>
      </c>
      <c r="J8" t="s">
        <v>22</v>
      </c>
      <c r="K8" t="str">
        <f t="shared" si="0"/>
        <v>Middle Age</v>
      </c>
      <c r="L8">
        <v>1</v>
      </c>
    </row>
    <row r="9" spans="1:12" x14ac:dyDescent="0.25">
      <c r="A9" t="s">
        <v>29</v>
      </c>
      <c r="B9">
        <v>49</v>
      </c>
      <c r="C9" t="s">
        <v>30</v>
      </c>
      <c r="D9">
        <v>22</v>
      </c>
      <c r="E9" t="s">
        <v>25</v>
      </c>
      <c r="F9" t="s">
        <v>19</v>
      </c>
      <c r="G9" t="s">
        <v>14</v>
      </c>
      <c r="H9" t="s">
        <v>14</v>
      </c>
      <c r="I9" t="s">
        <v>15</v>
      </c>
      <c r="J9" t="s">
        <v>22</v>
      </c>
      <c r="K9" t="str">
        <f t="shared" si="0"/>
        <v>Middle Age</v>
      </c>
      <c r="L9">
        <v>1</v>
      </c>
    </row>
    <row r="10" spans="1:12" x14ac:dyDescent="0.25">
      <c r="A10" t="s">
        <v>31</v>
      </c>
      <c r="B10">
        <v>67</v>
      </c>
      <c r="C10" t="s">
        <v>32</v>
      </c>
      <c r="D10">
        <v>22</v>
      </c>
      <c r="E10" t="s">
        <v>25</v>
      </c>
      <c r="F10" t="s">
        <v>33</v>
      </c>
      <c r="G10" t="s">
        <v>15</v>
      </c>
      <c r="H10" t="s">
        <v>15</v>
      </c>
      <c r="I10" t="s">
        <v>15</v>
      </c>
      <c r="J10" t="s">
        <v>22</v>
      </c>
      <c r="K10" t="str">
        <f t="shared" si="0"/>
        <v>Older women</v>
      </c>
      <c r="L10">
        <v>1</v>
      </c>
    </row>
    <row r="11" spans="1:12" x14ac:dyDescent="0.25">
      <c r="A11" t="s">
        <v>34</v>
      </c>
      <c r="B11">
        <v>42</v>
      </c>
      <c r="C11" t="s">
        <v>24</v>
      </c>
      <c r="D11">
        <v>40</v>
      </c>
      <c r="E11" t="s">
        <v>18</v>
      </c>
      <c r="F11" t="s">
        <v>33</v>
      </c>
      <c r="G11" t="s">
        <v>14</v>
      </c>
      <c r="H11" t="s">
        <v>15</v>
      </c>
      <c r="I11" t="s">
        <v>15</v>
      </c>
      <c r="J11" t="s">
        <v>22</v>
      </c>
      <c r="K11" t="str">
        <f t="shared" si="0"/>
        <v>Middle Age</v>
      </c>
      <c r="L11">
        <v>1</v>
      </c>
    </row>
    <row r="12" spans="1:12" x14ac:dyDescent="0.25">
      <c r="A12" t="s">
        <v>35</v>
      </c>
      <c r="B12">
        <v>50</v>
      </c>
      <c r="C12" t="s">
        <v>24</v>
      </c>
      <c r="D12">
        <v>22</v>
      </c>
      <c r="E12" t="s">
        <v>12</v>
      </c>
      <c r="F12" t="s">
        <v>33</v>
      </c>
      <c r="G12" t="s">
        <v>15</v>
      </c>
      <c r="H12" t="s">
        <v>15</v>
      </c>
      <c r="I12" t="s">
        <v>14</v>
      </c>
      <c r="J12" t="s">
        <v>22</v>
      </c>
      <c r="K12" t="str">
        <f t="shared" si="0"/>
        <v>Middle Age</v>
      </c>
      <c r="L12">
        <v>1</v>
      </c>
    </row>
    <row r="13" spans="1:12" x14ac:dyDescent="0.25">
      <c r="A13" t="s">
        <v>36</v>
      </c>
      <c r="B13">
        <v>50</v>
      </c>
      <c r="C13" t="s">
        <v>24</v>
      </c>
      <c r="D13">
        <v>34</v>
      </c>
      <c r="E13" t="s">
        <v>12</v>
      </c>
      <c r="F13" t="s">
        <v>13</v>
      </c>
      <c r="G13" t="s">
        <v>14</v>
      </c>
      <c r="H13" t="s">
        <v>15</v>
      </c>
      <c r="I13" t="s">
        <v>15</v>
      </c>
      <c r="J13" t="s">
        <v>22</v>
      </c>
      <c r="K13" t="str">
        <f t="shared" si="0"/>
        <v>Middle Age</v>
      </c>
      <c r="L13">
        <v>1</v>
      </c>
    </row>
    <row r="14" spans="1:12" x14ac:dyDescent="0.25">
      <c r="A14" t="s">
        <v>37</v>
      </c>
      <c r="B14">
        <v>59</v>
      </c>
      <c r="C14" t="s">
        <v>24</v>
      </c>
      <c r="D14">
        <v>21</v>
      </c>
      <c r="E14" t="s">
        <v>18</v>
      </c>
      <c r="F14" t="s">
        <v>13</v>
      </c>
      <c r="G14" t="s">
        <v>14</v>
      </c>
      <c r="H14" t="s">
        <v>14</v>
      </c>
      <c r="I14" t="s">
        <v>14</v>
      </c>
      <c r="J14" t="s">
        <v>22</v>
      </c>
      <c r="K14" t="str">
        <f t="shared" si="0"/>
        <v>Older women</v>
      </c>
      <c r="L14">
        <v>1</v>
      </c>
    </row>
    <row r="15" spans="1:12" x14ac:dyDescent="0.25">
      <c r="A15" t="s">
        <v>38</v>
      </c>
      <c r="B15">
        <v>56</v>
      </c>
      <c r="C15" t="s">
        <v>39</v>
      </c>
      <c r="D15">
        <v>10</v>
      </c>
      <c r="E15" t="s">
        <v>12</v>
      </c>
      <c r="F15" t="s">
        <v>19</v>
      </c>
      <c r="G15" t="s">
        <v>15</v>
      </c>
      <c r="H15" t="s">
        <v>15</v>
      </c>
      <c r="I15" t="s">
        <v>15</v>
      </c>
      <c r="J15" t="s">
        <v>22</v>
      </c>
      <c r="K15" t="str">
        <f t="shared" si="0"/>
        <v>Older women</v>
      </c>
      <c r="L15">
        <v>1</v>
      </c>
    </row>
    <row r="16" spans="1:12" x14ac:dyDescent="0.25">
      <c r="A16" t="s">
        <v>40</v>
      </c>
      <c r="B16">
        <v>49</v>
      </c>
      <c r="C16" t="s">
        <v>11</v>
      </c>
      <c r="D16">
        <v>29</v>
      </c>
      <c r="E16" t="s">
        <v>12</v>
      </c>
      <c r="F16" t="s">
        <v>13</v>
      </c>
      <c r="G16" t="s">
        <v>14</v>
      </c>
      <c r="H16" t="s">
        <v>14</v>
      </c>
      <c r="I16" t="s">
        <v>15</v>
      </c>
      <c r="J16" t="s">
        <v>22</v>
      </c>
      <c r="K16" t="str">
        <f t="shared" si="0"/>
        <v>Middle Age</v>
      </c>
      <c r="L16">
        <v>1</v>
      </c>
    </row>
    <row r="17" spans="1:12" x14ac:dyDescent="0.25">
      <c r="A17" t="s">
        <v>41</v>
      </c>
      <c r="B17">
        <v>42</v>
      </c>
      <c r="C17" t="s">
        <v>32</v>
      </c>
      <c r="D17">
        <v>26</v>
      </c>
      <c r="E17" t="s">
        <v>25</v>
      </c>
      <c r="F17" t="s">
        <v>19</v>
      </c>
      <c r="G17" t="s">
        <v>14</v>
      </c>
      <c r="H17" t="s">
        <v>15</v>
      </c>
      <c r="I17" t="s">
        <v>14</v>
      </c>
      <c r="J17" t="s">
        <v>22</v>
      </c>
      <c r="K17" t="str">
        <f t="shared" si="0"/>
        <v>Middle Age</v>
      </c>
      <c r="L17">
        <v>1</v>
      </c>
    </row>
    <row r="18" spans="1:12" x14ac:dyDescent="0.25">
      <c r="A18" t="s">
        <v>42</v>
      </c>
      <c r="B18">
        <v>41</v>
      </c>
      <c r="C18" t="s">
        <v>24</v>
      </c>
      <c r="D18">
        <v>37</v>
      </c>
      <c r="E18" t="s">
        <v>18</v>
      </c>
      <c r="F18" t="s">
        <v>33</v>
      </c>
      <c r="G18" t="s">
        <v>15</v>
      </c>
      <c r="H18" t="s">
        <v>15</v>
      </c>
      <c r="I18" t="s">
        <v>14</v>
      </c>
      <c r="J18" t="s">
        <v>22</v>
      </c>
      <c r="K18" t="str">
        <f t="shared" si="0"/>
        <v>Middle Age</v>
      </c>
      <c r="L18">
        <v>1</v>
      </c>
    </row>
    <row r="19" spans="1:12" x14ac:dyDescent="0.25">
      <c r="A19" t="s">
        <v>43</v>
      </c>
      <c r="B19">
        <v>35</v>
      </c>
      <c r="C19" t="s">
        <v>44</v>
      </c>
      <c r="D19">
        <v>39</v>
      </c>
      <c r="E19" t="s">
        <v>18</v>
      </c>
      <c r="F19" t="s">
        <v>33</v>
      </c>
      <c r="G19" t="s">
        <v>14</v>
      </c>
      <c r="H19" t="s">
        <v>15</v>
      </c>
      <c r="I19" t="s">
        <v>14</v>
      </c>
      <c r="J19" t="s">
        <v>22</v>
      </c>
      <c r="K19" t="str">
        <f t="shared" si="0"/>
        <v>Middle Age</v>
      </c>
      <c r="L19">
        <v>1</v>
      </c>
    </row>
    <row r="20" spans="1:12" x14ac:dyDescent="0.25">
      <c r="A20" t="s">
        <v>45</v>
      </c>
      <c r="B20">
        <v>44</v>
      </c>
      <c r="C20" t="s">
        <v>46</v>
      </c>
      <c r="D20">
        <v>20</v>
      </c>
      <c r="E20" t="s">
        <v>18</v>
      </c>
      <c r="F20" t="s">
        <v>13</v>
      </c>
      <c r="G20" t="s">
        <v>15</v>
      </c>
      <c r="H20" t="s">
        <v>15</v>
      </c>
      <c r="I20" t="s">
        <v>15</v>
      </c>
      <c r="J20" t="s">
        <v>16</v>
      </c>
      <c r="K20" t="str">
        <f t="shared" si="0"/>
        <v>Middle Age</v>
      </c>
      <c r="L20">
        <v>1</v>
      </c>
    </row>
    <row r="21" spans="1:12" x14ac:dyDescent="0.25">
      <c r="A21" t="s">
        <v>47</v>
      </c>
      <c r="B21">
        <v>33</v>
      </c>
      <c r="C21" t="s">
        <v>39</v>
      </c>
      <c r="D21">
        <v>13</v>
      </c>
      <c r="E21" t="s">
        <v>18</v>
      </c>
      <c r="F21" t="s">
        <v>13</v>
      </c>
      <c r="G21" t="s">
        <v>15</v>
      </c>
      <c r="H21" t="s">
        <v>14</v>
      </c>
      <c r="I21" t="s">
        <v>14</v>
      </c>
      <c r="J21" t="s">
        <v>16</v>
      </c>
      <c r="K21" t="str">
        <f t="shared" si="0"/>
        <v>Young Adult</v>
      </c>
      <c r="L21">
        <v>1</v>
      </c>
    </row>
    <row r="22" spans="1:12" x14ac:dyDescent="0.25">
      <c r="A22" t="s">
        <v>48</v>
      </c>
      <c r="B22">
        <v>69</v>
      </c>
      <c r="C22" t="s">
        <v>46</v>
      </c>
      <c r="D22">
        <v>17</v>
      </c>
      <c r="E22" t="s">
        <v>12</v>
      </c>
      <c r="F22" t="s">
        <v>33</v>
      </c>
      <c r="G22" t="s">
        <v>14</v>
      </c>
      <c r="H22" t="s">
        <v>14</v>
      </c>
      <c r="I22" t="s">
        <v>14</v>
      </c>
      <c r="J22" t="s">
        <v>16</v>
      </c>
      <c r="K22" t="str">
        <f t="shared" si="0"/>
        <v>Older women</v>
      </c>
      <c r="L22">
        <v>1</v>
      </c>
    </row>
    <row r="23" spans="1:12" x14ac:dyDescent="0.25">
      <c r="A23" t="s">
        <v>49</v>
      </c>
      <c r="B23">
        <v>32</v>
      </c>
      <c r="C23" t="s">
        <v>24</v>
      </c>
      <c r="D23">
        <v>20</v>
      </c>
      <c r="E23" t="s">
        <v>12</v>
      </c>
      <c r="F23" t="s">
        <v>19</v>
      </c>
      <c r="G23" t="s">
        <v>15</v>
      </c>
      <c r="H23" t="s">
        <v>15</v>
      </c>
      <c r="I23" t="s">
        <v>14</v>
      </c>
      <c r="J23" t="s">
        <v>16</v>
      </c>
      <c r="K23" t="str">
        <f t="shared" si="0"/>
        <v>Young Adult</v>
      </c>
      <c r="L23">
        <v>1</v>
      </c>
    </row>
    <row r="24" spans="1:12" x14ac:dyDescent="0.25">
      <c r="A24" t="s">
        <v>50</v>
      </c>
      <c r="B24">
        <v>25</v>
      </c>
      <c r="C24" t="s">
        <v>30</v>
      </c>
      <c r="D24">
        <v>9</v>
      </c>
      <c r="E24" t="s">
        <v>18</v>
      </c>
      <c r="F24" t="s">
        <v>13</v>
      </c>
      <c r="G24" t="s">
        <v>15</v>
      </c>
      <c r="H24" t="s">
        <v>15</v>
      </c>
      <c r="I24" t="s">
        <v>15</v>
      </c>
      <c r="J24" t="s">
        <v>22</v>
      </c>
      <c r="K24" t="str">
        <f t="shared" si="0"/>
        <v>Young Adult</v>
      </c>
      <c r="L24">
        <v>1</v>
      </c>
    </row>
    <row r="25" spans="1:12" x14ac:dyDescent="0.25">
      <c r="A25" t="s">
        <v>51</v>
      </c>
      <c r="B25">
        <v>40</v>
      </c>
      <c r="C25" t="s">
        <v>46</v>
      </c>
      <c r="D25">
        <v>22</v>
      </c>
      <c r="E25" t="s">
        <v>18</v>
      </c>
      <c r="F25" t="s">
        <v>33</v>
      </c>
      <c r="G25" t="s">
        <v>15</v>
      </c>
      <c r="H25" t="s">
        <v>14</v>
      </c>
      <c r="I25" t="s">
        <v>15</v>
      </c>
      <c r="J25" t="s">
        <v>22</v>
      </c>
      <c r="K25" t="str">
        <f t="shared" si="0"/>
        <v>Middle Age</v>
      </c>
      <c r="L25">
        <v>1</v>
      </c>
    </row>
    <row r="26" spans="1:12" x14ac:dyDescent="0.25">
      <c r="A26" t="s">
        <v>52</v>
      </c>
      <c r="B26">
        <v>51</v>
      </c>
      <c r="C26" t="s">
        <v>39</v>
      </c>
      <c r="D26">
        <v>17</v>
      </c>
      <c r="E26" t="s">
        <v>25</v>
      </c>
      <c r="F26" t="s">
        <v>13</v>
      </c>
      <c r="G26" t="s">
        <v>15</v>
      </c>
      <c r="H26" t="s">
        <v>15</v>
      </c>
      <c r="I26" t="s">
        <v>14</v>
      </c>
      <c r="J26" t="s">
        <v>16</v>
      </c>
      <c r="K26" t="str">
        <f t="shared" si="0"/>
        <v>Older women</v>
      </c>
      <c r="L26">
        <v>1</v>
      </c>
    </row>
    <row r="27" spans="1:12" x14ac:dyDescent="0.25">
      <c r="A27" t="s">
        <v>53</v>
      </c>
      <c r="B27">
        <v>28</v>
      </c>
      <c r="C27" t="s">
        <v>11</v>
      </c>
      <c r="D27">
        <v>11</v>
      </c>
      <c r="E27" t="s">
        <v>18</v>
      </c>
      <c r="F27" t="s">
        <v>19</v>
      </c>
      <c r="G27" t="s">
        <v>14</v>
      </c>
      <c r="H27" t="s">
        <v>15</v>
      </c>
      <c r="I27" t="s">
        <v>14</v>
      </c>
      <c r="J27" t="s">
        <v>22</v>
      </c>
      <c r="K27" t="str">
        <f t="shared" si="0"/>
        <v>Young Adult</v>
      </c>
      <c r="L27">
        <v>1</v>
      </c>
    </row>
    <row r="28" spans="1:12" x14ac:dyDescent="0.25">
      <c r="A28" t="s">
        <v>54</v>
      </c>
      <c r="B28">
        <v>37</v>
      </c>
      <c r="C28" t="s">
        <v>32</v>
      </c>
      <c r="D28">
        <v>39</v>
      </c>
      <c r="E28" t="s">
        <v>25</v>
      </c>
      <c r="F28" t="s">
        <v>33</v>
      </c>
      <c r="G28" t="s">
        <v>15</v>
      </c>
      <c r="H28" t="s">
        <v>14</v>
      </c>
      <c r="I28" t="s">
        <v>14</v>
      </c>
      <c r="J28" t="s">
        <v>22</v>
      </c>
      <c r="K28" t="str">
        <f t="shared" si="0"/>
        <v>Middle Age</v>
      </c>
      <c r="L28">
        <v>1</v>
      </c>
    </row>
    <row r="29" spans="1:12" x14ac:dyDescent="0.25">
      <c r="A29" t="s">
        <v>55</v>
      </c>
      <c r="B29">
        <v>40</v>
      </c>
      <c r="C29" t="s">
        <v>44</v>
      </c>
      <c r="D29">
        <v>9</v>
      </c>
      <c r="E29" t="s">
        <v>18</v>
      </c>
      <c r="F29" t="s">
        <v>19</v>
      </c>
      <c r="G29" t="s">
        <v>15</v>
      </c>
      <c r="H29" t="s">
        <v>14</v>
      </c>
      <c r="I29" t="s">
        <v>15</v>
      </c>
      <c r="J29" t="s">
        <v>16</v>
      </c>
      <c r="K29" t="str">
        <f t="shared" si="0"/>
        <v>Middle Age</v>
      </c>
      <c r="L29">
        <v>1</v>
      </c>
    </row>
    <row r="30" spans="1:12" x14ac:dyDescent="0.25">
      <c r="A30" t="s">
        <v>56</v>
      </c>
      <c r="B30">
        <v>35</v>
      </c>
      <c r="C30" t="s">
        <v>39</v>
      </c>
      <c r="D30">
        <v>31</v>
      </c>
      <c r="E30" t="s">
        <v>18</v>
      </c>
      <c r="F30" t="s">
        <v>19</v>
      </c>
      <c r="G30" t="s">
        <v>14</v>
      </c>
      <c r="H30" t="s">
        <v>14</v>
      </c>
      <c r="I30" t="s">
        <v>15</v>
      </c>
      <c r="J30" t="s">
        <v>22</v>
      </c>
      <c r="K30" t="str">
        <f t="shared" si="0"/>
        <v>Middle Age</v>
      </c>
      <c r="L30">
        <v>1</v>
      </c>
    </row>
    <row r="31" spans="1:12" x14ac:dyDescent="0.25">
      <c r="A31" t="s">
        <v>57</v>
      </c>
      <c r="B31">
        <v>49</v>
      </c>
      <c r="C31" t="s">
        <v>21</v>
      </c>
      <c r="D31">
        <v>5</v>
      </c>
      <c r="E31" t="s">
        <v>25</v>
      </c>
      <c r="F31" t="s">
        <v>13</v>
      </c>
      <c r="G31" t="s">
        <v>14</v>
      </c>
      <c r="H31" t="s">
        <v>14</v>
      </c>
      <c r="I31" t="s">
        <v>14</v>
      </c>
      <c r="J31" t="s">
        <v>16</v>
      </c>
      <c r="K31" t="str">
        <f t="shared" si="0"/>
        <v>Middle Age</v>
      </c>
      <c r="L31">
        <v>1</v>
      </c>
    </row>
    <row r="32" spans="1:12" x14ac:dyDescent="0.25">
      <c r="A32" t="s">
        <v>58</v>
      </c>
      <c r="B32">
        <v>60</v>
      </c>
      <c r="C32" t="s">
        <v>24</v>
      </c>
      <c r="D32">
        <v>36</v>
      </c>
      <c r="E32" t="s">
        <v>18</v>
      </c>
      <c r="F32" t="s">
        <v>13</v>
      </c>
      <c r="G32" t="s">
        <v>15</v>
      </c>
      <c r="H32" t="s">
        <v>15</v>
      </c>
      <c r="I32" t="s">
        <v>14</v>
      </c>
      <c r="J32" t="s">
        <v>22</v>
      </c>
      <c r="K32" t="str">
        <f t="shared" si="0"/>
        <v>Older women</v>
      </c>
      <c r="L32">
        <v>1</v>
      </c>
    </row>
    <row r="33" spans="1:12" x14ac:dyDescent="0.25">
      <c r="A33" t="s">
        <v>59</v>
      </c>
      <c r="B33">
        <v>59</v>
      </c>
      <c r="C33" t="s">
        <v>46</v>
      </c>
      <c r="D33">
        <v>8</v>
      </c>
      <c r="E33" t="s">
        <v>12</v>
      </c>
      <c r="F33" t="s">
        <v>13</v>
      </c>
      <c r="G33" t="s">
        <v>15</v>
      </c>
      <c r="H33" t="s">
        <v>14</v>
      </c>
      <c r="I33" t="s">
        <v>15</v>
      </c>
      <c r="J33" t="s">
        <v>16</v>
      </c>
      <c r="K33" t="str">
        <f t="shared" si="0"/>
        <v>Older women</v>
      </c>
      <c r="L33">
        <v>1</v>
      </c>
    </row>
    <row r="34" spans="1:12" x14ac:dyDescent="0.25">
      <c r="A34" t="s">
        <v>60</v>
      </c>
      <c r="B34">
        <v>35</v>
      </c>
      <c r="C34" t="s">
        <v>24</v>
      </c>
      <c r="D34">
        <v>8</v>
      </c>
      <c r="E34" t="s">
        <v>25</v>
      </c>
      <c r="F34" t="s">
        <v>19</v>
      </c>
      <c r="G34" t="s">
        <v>15</v>
      </c>
      <c r="H34" t="s">
        <v>15</v>
      </c>
      <c r="I34" t="s">
        <v>15</v>
      </c>
      <c r="J34" t="s">
        <v>22</v>
      </c>
      <c r="K34" t="str">
        <f t="shared" si="0"/>
        <v>Middle Age</v>
      </c>
      <c r="L34">
        <v>1</v>
      </c>
    </row>
    <row r="35" spans="1:12" x14ac:dyDescent="0.25">
      <c r="A35" t="s">
        <v>61</v>
      </c>
      <c r="B35">
        <v>61</v>
      </c>
      <c r="C35" t="s">
        <v>30</v>
      </c>
      <c r="D35">
        <v>20</v>
      </c>
      <c r="E35" t="s">
        <v>25</v>
      </c>
      <c r="F35" t="s">
        <v>19</v>
      </c>
      <c r="G35" t="s">
        <v>15</v>
      </c>
      <c r="H35" t="s">
        <v>15</v>
      </c>
      <c r="I35" t="s">
        <v>14</v>
      </c>
      <c r="J35" t="s">
        <v>22</v>
      </c>
      <c r="K35" t="str">
        <f t="shared" si="0"/>
        <v>Older women</v>
      </c>
      <c r="L35">
        <v>1</v>
      </c>
    </row>
    <row r="36" spans="1:12" x14ac:dyDescent="0.25">
      <c r="A36" t="s">
        <v>62</v>
      </c>
      <c r="B36">
        <v>67</v>
      </c>
      <c r="C36" t="s">
        <v>32</v>
      </c>
      <c r="D36">
        <v>25</v>
      </c>
      <c r="E36" t="s">
        <v>12</v>
      </c>
      <c r="F36" t="s">
        <v>13</v>
      </c>
      <c r="G36" t="s">
        <v>14</v>
      </c>
      <c r="H36" t="s">
        <v>15</v>
      </c>
      <c r="I36" t="s">
        <v>14</v>
      </c>
      <c r="J36" t="s">
        <v>22</v>
      </c>
      <c r="K36" t="str">
        <f t="shared" si="0"/>
        <v>Older women</v>
      </c>
      <c r="L36">
        <v>1</v>
      </c>
    </row>
    <row r="37" spans="1:12" x14ac:dyDescent="0.25">
      <c r="A37" t="s">
        <v>63</v>
      </c>
      <c r="B37">
        <v>44</v>
      </c>
      <c r="C37" t="s">
        <v>46</v>
      </c>
      <c r="D37">
        <v>34</v>
      </c>
      <c r="E37" t="s">
        <v>12</v>
      </c>
      <c r="F37" t="s">
        <v>13</v>
      </c>
      <c r="G37" t="s">
        <v>15</v>
      </c>
      <c r="H37" t="s">
        <v>14</v>
      </c>
      <c r="I37" t="s">
        <v>15</v>
      </c>
      <c r="J37" t="s">
        <v>22</v>
      </c>
      <c r="K37" t="str">
        <f t="shared" si="0"/>
        <v>Middle Age</v>
      </c>
      <c r="L37">
        <v>1</v>
      </c>
    </row>
    <row r="38" spans="1:12" x14ac:dyDescent="0.25">
      <c r="A38" t="s">
        <v>64</v>
      </c>
      <c r="B38">
        <v>31</v>
      </c>
      <c r="C38" t="s">
        <v>11</v>
      </c>
      <c r="D38">
        <v>9</v>
      </c>
      <c r="E38" t="s">
        <v>18</v>
      </c>
      <c r="F38" t="s">
        <v>33</v>
      </c>
      <c r="G38" t="s">
        <v>14</v>
      </c>
      <c r="H38" t="s">
        <v>15</v>
      </c>
      <c r="I38" t="s">
        <v>15</v>
      </c>
      <c r="J38" t="s">
        <v>22</v>
      </c>
      <c r="K38" t="str">
        <f t="shared" si="0"/>
        <v>Young Adult</v>
      </c>
      <c r="L38">
        <v>1</v>
      </c>
    </row>
    <row r="39" spans="1:12" x14ac:dyDescent="0.25">
      <c r="A39" t="s">
        <v>65</v>
      </c>
      <c r="B39">
        <v>43</v>
      </c>
      <c r="C39" t="s">
        <v>21</v>
      </c>
      <c r="D39">
        <v>15</v>
      </c>
      <c r="E39" t="s">
        <v>12</v>
      </c>
      <c r="F39" t="s">
        <v>19</v>
      </c>
      <c r="G39" t="s">
        <v>14</v>
      </c>
      <c r="H39" t="s">
        <v>14</v>
      </c>
      <c r="I39" t="s">
        <v>15</v>
      </c>
      <c r="J39" t="s">
        <v>16</v>
      </c>
      <c r="K39" t="str">
        <f t="shared" si="0"/>
        <v>Middle Age</v>
      </c>
      <c r="L39">
        <v>1</v>
      </c>
    </row>
    <row r="40" spans="1:12" x14ac:dyDescent="0.25">
      <c r="A40" t="s">
        <v>66</v>
      </c>
      <c r="B40">
        <v>33</v>
      </c>
      <c r="C40" t="s">
        <v>21</v>
      </c>
      <c r="D40">
        <v>21</v>
      </c>
      <c r="E40" t="s">
        <v>25</v>
      </c>
      <c r="F40" t="s">
        <v>13</v>
      </c>
      <c r="G40" t="s">
        <v>15</v>
      </c>
      <c r="H40" t="s">
        <v>15</v>
      </c>
      <c r="I40" t="s">
        <v>15</v>
      </c>
      <c r="J40" t="s">
        <v>22</v>
      </c>
      <c r="K40" t="str">
        <f t="shared" si="0"/>
        <v>Young Adult</v>
      </c>
      <c r="L40">
        <v>1</v>
      </c>
    </row>
    <row r="41" spans="1:12" x14ac:dyDescent="0.25">
      <c r="A41" t="s">
        <v>67</v>
      </c>
      <c r="B41">
        <v>38</v>
      </c>
      <c r="C41" t="s">
        <v>21</v>
      </c>
      <c r="D41">
        <v>26</v>
      </c>
      <c r="E41" t="s">
        <v>18</v>
      </c>
      <c r="F41" t="s">
        <v>19</v>
      </c>
      <c r="G41" t="s">
        <v>14</v>
      </c>
      <c r="H41" t="s">
        <v>15</v>
      </c>
      <c r="I41" t="s">
        <v>14</v>
      </c>
      <c r="J41" t="s">
        <v>22</v>
      </c>
      <c r="K41" t="str">
        <f t="shared" si="0"/>
        <v>Middle Age</v>
      </c>
      <c r="L41">
        <v>1</v>
      </c>
    </row>
    <row r="42" spans="1:12" x14ac:dyDescent="0.25">
      <c r="A42" t="s">
        <v>68</v>
      </c>
      <c r="B42">
        <v>65</v>
      </c>
      <c r="C42" t="s">
        <v>30</v>
      </c>
      <c r="D42">
        <v>32</v>
      </c>
      <c r="E42" t="s">
        <v>18</v>
      </c>
      <c r="F42" t="s">
        <v>13</v>
      </c>
      <c r="G42" t="s">
        <v>15</v>
      </c>
      <c r="H42" t="s">
        <v>14</v>
      </c>
      <c r="I42" t="s">
        <v>15</v>
      </c>
      <c r="J42" t="s">
        <v>22</v>
      </c>
      <c r="K42" t="str">
        <f t="shared" si="0"/>
        <v>Older women</v>
      </c>
      <c r="L42">
        <v>1</v>
      </c>
    </row>
    <row r="43" spans="1:12" x14ac:dyDescent="0.25">
      <c r="A43" t="s">
        <v>69</v>
      </c>
      <c r="B43">
        <v>41</v>
      </c>
      <c r="C43" t="s">
        <v>11</v>
      </c>
      <c r="D43">
        <v>15</v>
      </c>
      <c r="E43" t="s">
        <v>18</v>
      </c>
      <c r="F43" t="s">
        <v>13</v>
      </c>
      <c r="G43" t="s">
        <v>14</v>
      </c>
      <c r="H43" t="s">
        <v>14</v>
      </c>
      <c r="I43" t="s">
        <v>15</v>
      </c>
      <c r="J43" t="s">
        <v>16</v>
      </c>
      <c r="K43" t="str">
        <f t="shared" si="0"/>
        <v>Middle Age</v>
      </c>
      <c r="L43">
        <v>1</v>
      </c>
    </row>
    <row r="44" spans="1:12" x14ac:dyDescent="0.25">
      <c r="A44" t="s">
        <v>70</v>
      </c>
      <c r="B44">
        <v>34</v>
      </c>
      <c r="C44" t="s">
        <v>39</v>
      </c>
      <c r="D44">
        <v>39</v>
      </c>
      <c r="E44" t="s">
        <v>18</v>
      </c>
      <c r="F44" t="s">
        <v>19</v>
      </c>
      <c r="G44" t="s">
        <v>14</v>
      </c>
      <c r="H44" t="s">
        <v>15</v>
      </c>
      <c r="I44" t="s">
        <v>15</v>
      </c>
      <c r="J44" t="s">
        <v>22</v>
      </c>
      <c r="K44" t="str">
        <f t="shared" si="0"/>
        <v>Young Adult</v>
      </c>
      <c r="L44">
        <v>1</v>
      </c>
    </row>
    <row r="45" spans="1:12" x14ac:dyDescent="0.25">
      <c r="A45" t="s">
        <v>71</v>
      </c>
      <c r="B45">
        <v>44</v>
      </c>
      <c r="C45" t="s">
        <v>24</v>
      </c>
      <c r="D45">
        <v>28</v>
      </c>
      <c r="E45" t="s">
        <v>12</v>
      </c>
      <c r="F45" t="s">
        <v>19</v>
      </c>
      <c r="G45" t="s">
        <v>14</v>
      </c>
      <c r="H45" t="s">
        <v>15</v>
      </c>
      <c r="I45" t="s">
        <v>15</v>
      </c>
      <c r="J45" t="s">
        <v>22</v>
      </c>
      <c r="K45" t="str">
        <f t="shared" si="0"/>
        <v>Middle Age</v>
      </c>
      <c r="L45">
        <v>1</v>
      </c>
    </row>
    <row r="46" spans="1:12" x14ac:dyDescent="0.25">
      <c r="A46" t="s">
        <v>72</v>
      </c>
      <c r="B46">
        <v>47</v>
      </c>
      <c r="C46" t="s">
        <v>32</v>
      </c>
      <c r="D46">
        <v>40</v>
      </c>
      <c r="E46" t="s">
        <v>18</v>
      </c>
      <c r="F46" t="s">
        <v>33</v>
      </c>
      <c r="G46" t="s">
        <v>15</v>
      </c>
      <c r="H46" t="s">
        <v>14</v>
      </c>
      <c r="I46" t="s">
        <v>15</v>
      </c>
      <c r="J46" t="s">
        <v>22</v>
      </c>
      <c r="K46" t="str">
        <f t="shared" si="0"/>
        <v>Middle Age</v>
      </c>
      <c r="L46">
        <v>1</v>
      </c>
    </row>
    <row r="47" spans="1:12" x14ac:dyDescent="0.25">
      <c r="A47" t="s">
        <v>73</v>
      </c>
      <c r="B47">
        <v>26</v>
      </c>
      <c r="C47" t="s">
        <v>21</v>
      </c>
      <c r="D47">
        <v>16</v>
      </c>
      <c r="E47" t="s">
        <v>18</v>
      </c>
      <c r="F47" t="s">
        <v>13</v>
      </c>
      <c r="G47" t="s">
        <v>14</v>
      </c>
      <c r="H47" t="s">
        <v>14</v>
      </c>
      <c r="I47" t="s">
        <v>15</v>
      </c>
      <c r="J47" t="s">
        <v>16</v>
      </c>
      <c r="K47" t="str">
        <f t="shared" si="0"/>
        <v>Young Adult</v>
      </c>
      <c r="L47">
        <v>1</v>
      </c>
    </row>
    <row r="48" spans="1:12" x14ac:dyDescent="0.25">
      <c r="A48" t="s">
        <v>74</v>
      </c>
      <c r="B48">
        <v>31</v>
      </c>
      <c r="C48" t="s">
        <v>24</v>
      </c>
      <c r="D48">
        <v>29</v>
      </c>
      <c r="E48" t="s">
        <v>25</v>
      </c>
      <c r="F48" t="s">
        <v>33</v>
      </c>
      <c r="G48" t="s">
        <v>14</v>
      </c>
      <c r="H48" t="s">
        <v>15</v>
      </c>
      <c r="I48" t="s">
        <v>15</v>
      </c>
      <c r="J48" t="s">
        <v>22</v>
      </c>
      <c r="K48" t="str">
        <f t="shared" si="0"/>
        <v>Young Adult</v>
      </c>
      <c r="L48">
        <v>1</v>
      </c>
    </row>
    <row r="49" spans="1:12" x14ac:dyDescent="0.25">
      <c r="A49" t="s">
        <v>75</v>
      </c>
      <c r="B49">
        <v>44</v>
      </c>
      <c r="C49" t="s">
        <v>21</v>
      </c>
      <c r="D49">
        <v>19</v>
      </c>
      <c r="E49" t="s">
        <v>18</v>
      </c>
      <c r="F49" t="s">
        <v>33</v>
      </c>
      <c r="G49" t="s">
        <v>15</v>
      </c>
      <c r="H49" t="s">
        <v>15</v>
      </c>
      <c r="I49" t="s">
        <v>15</v>
      </c>
      <c r="J49" t="s">
        <v>16</v>
      </c>
      <c r="K49" t="str">
        <f t="shared" si="0"/>
        <v>Middle Age</v>
      </c>
      <c r="L49">
        <v>1</v>
      </c>
    </row>
    <row r="50" spans="1:12" x14ac:dyDescent="0.25">
      <c r="A50" t="s">
        <v>76</v>
      </c>
      <c r="B50">
        <v>47</v>
      </c>
      <c r="C50" t="s">
        <v>11</v>
      </c>
      <c r="D50">
        <v>37</v>
      </c>
      <c r="E50" t="s">
        <v>25</v>
      </c>
      <c r="F50" t="s">
        <v>19</v>
      </c>
      <c r="G50" t="s">
        <v>14</v>
      </c>
      <c r="H50" t="s">
        <v>14</v>
      </c>
      <c r="I50" t="s">
        <v>15</v>
      </c>
      <c r="J50" t="s">
        <v>22</v>
      </c>
      <c r="K50" t="str">
        <f t="shared" si="0"/>
        <v>Middle Age</v>
      </c>
      <c r="L50">
        <v>1</v>
      </c>
    </row>
    <row r="51" spans="1:12" x14ac:dyDescent="0.25">
      <c r="A51" t="s">
        <v>77</v>
      </c>
      <c r="B51">
        <v>62</v>
      </c>
      <c r="C51" t="s">
        <v>30</v>
      </c>
      <c r="D51">
        <v>21</v>
      </c>
      <c r="E51" t="s">
        <v>12</v>
      </c>
      <c r="F51" t="s">
        <v>33</v>
      </c>
      <c r="G51" t="s">
        <v>15</v>
      </c>
      <c r="H51" t="s">
        <v>15</v>
      </c>
      <c r="I51" t="s">
        <v>14</v>
      </c>
      <c r="J51" t="s">
        <v>22</v>
      </c>
      <c r="K51" t="str">
        <f t="shared" si="0"/>
        <v>Older women</v>
      </c>
      <c r="L51">
        <v>1</v>
      </c>
    </row>
    <row r="52" spans="1:12" x14ac:dyDescent="0.25">
      <c r="A52" t="s">
        <v>78</v>
      </c>
      <c r="B52">
        <v>52</v>
      </c>
      <c r="C52" t="s">
        <v>21</v>
      </c>
      <c r="D52">
        <v>37</v>
      </c>
      <c r="E52" t="s">
        <v>18</v>
      </c>
      <c r="F52" t="s">
        <v>13</v>
      </c>
      <c r="G52" t="s">
        <v>14</v>
      </c>
      <c r="H52" t="s">
        <v>15</v>
      </c>
      <c r="I52" t="s">
        <v>15</v>
      </c>
      <c r="J52" t="s">
        <v>22</v>
      </c>
      <c r="K52" t="str">
        <f t="shared" si="0"/>
        <v>Older women</v>
      </c>
      <c r="L52">
        <v>1</v>
      </c>
    </row>
    <row r="53" spans="1:12" x14ac:dyDescent="0.25">
      <c r="A53" t="s">
        <v>79</v>
      </c>
      <c r="B53">
        <v>52</v>
      </c>
      <c r="C53" t="s">
        <v>30</v>
      </c>
      <c r="D53">
        <v>5</v>
      </c>
      <c r="E53" t="s">
        <v>12</v>
      </c>
      <c r="F53" t="s">
        <v>33</v>
      </c>
      <c r="G53" t="s">
        <v>14</v>
      </c>
      <c r="H53" t="s">
        <v>15</v>
      </c>
      <c r="I53" t="s">
        <v>14</v>
      </c>
      <c r="J53" t="s">
        <v>16</v>
      </c>
      <c r="K53" t="str">
        <f t="shared" si="0"/>
        <v>Older women</v>
      </c>
      <c r="L53">
        <v>1</v>
      </c>
    </row>
    <row r="54" spans="1:12" x14ac:dyDescent="0.25">
      <c r="A54" t="s">
        <v>80</v>
      </c>
      <c r="B54">
        <v>67</v>
      </c>
      <c r="C54" t="s">
        <v>30</v>
      </c>
      <c r="D54">
        <v>12</v>
      </c>
      <c r="E54" t="s">
        <v>25</v>
      </c>
      <c r="F54" t="s">
        <v>13</v>
      </c>
      <c r="G54" t="s">
        <v>14</v>
      </c>
      <c r="H54" t="s">
        <v>14</v>
      </c>
      <c r="I54" t="s">
        <v>14</v>
      </c>
      <c r="J54" t="s">
        <v>16</v>
      </c>
      <c r="K54" t="str">
        <f t="shared" si="0"/>
        <v>Older women</v>
      </c>
      <c r="L54">
        <v>1</v>
      </c>
    </row>
    <row r="55" spans="1:12" x14ac:dyDescent="0.25">
      <c r="A55" t="s">
        <v>81</v>
      </c>
      <c r="B55">
        <v>43</v>
      </c>
      <c r="C55" t="s">
        <v>39</v>
      </c>
      <c r="D55">
        <v>40</v>
      </c>
      <c r="E55" t="s">
        <v>12</v>
      </c>
      <c r="F55" t="s">
        <v>13</v>
      </c>
      <c r="G55" t="s">
        <v>15</v>
      </c>
      <c r="H55" t="s">
        <v>15</v>
      </c>
      <c r="I55" t="s">
        <v>14</v>
      </c>
      <c r="J55" t="s">
        <v>22</v>
      </c>
      <c r="K55" t="str">
        <f t="shared" si="0"/>
        <v>Middle Age</v>
      </c>
      <c r="L55">
        <v>1</v>
      </c>
    </row>
    <row r="56" spans="1:12" x14ac:dyDescent="0.25">
      <c r="A56" t="s">
        <v>82</v>
      </c>
      <c r="B56">
        <v>36</v>
      </c>
      <c r="C56" t="s">
        <v>21</v>
      </c>
      <c r="D56">
        <v>24</v>
      </c>
      <c r="E56" t="s">
        <v>18</v>
      </c>
      <c r="F56" t="s">
        <v>33</v>
      </c>
      <c r="G56" t="s">
        <v>15</v>
      </c>
      <c r="H56" t="s">
        <v>14</v>
      </c>
      <c r="I56" t="s">
        <v>14</v>
      </c>
      <c r="J56" t="s">
        <v>22</v>
      </c>
      <c r="K56" t="str">
        <f t="shared" si="0"/>
        <v>Middle Age</v>
      </c>
      <c r="L56">
        <v>1</v>
      </c>
    </row>
    <row r="57" spans="1:12" x14ac:dyDescent="0.25">
      <c r="A57" t="s">
        <v>83</v>
      </c>
      <c r="B57">
        <v>62</v>
      </c>
      <c r="C57" t="s">
        <v>24</v>
      </c>
      <c r="D57">
        <v>25</v>
      </c>
      <c r="E57" t="s">
        <v>12</v>
      </c>
      <c r="F57" t="s">
        <v>33</v>
      </c>
      <c r="G57" t="s">
        <v>14</v>
      </c>
      <c r="H57" t="s">
        <v>14</v>
      </c>
      <c r="I57" t="s">
        <v>14</v>
      </c>
      <c r="J57" t="s">
        <v>22</v>
      </c>
      <c r="K57" t="str">
        <f t="shared" si="0"/>
        <v>Older women</v>
      </c>
      <c r="L57">
        <v>1</v>
      </c>
    </row>
    <row r="58" spans="1:12" x14ac:dyDescent="0.25">
      <c r="A58" t="s">
        <v>84</v>
      </c>
      <c r="B58">
        <v>35</v>
      </c>
      <c r="C58" t="s">
        <v>24</v>
      </c>
      <c r="D58">
        <v>10</v>
      </c>
      <c r="E58" t="s">
        <v>12</v>
      </c>
      <c r="F58" t="s">
        <v>33</v>
      </c>
      <c r="G58" t="s">
        <v>14</v>
      </c>
      <c r="H58" t="s">
        <v>14</v>
      </c>
      <c r="I58" t="s">
        <v>15</v>
      </c>
      <c r="J58" t="s">
        <v>16</v>
      </c>
      <c r="K58" t="str">
        <f t="shared" si="0"/>
        <v>Middle Age</v>
      </c>
      <c r="L58">
        <v>1</v>
      </c>
    </row>
    <row r="59" spans="1:12" x14ac:dyDescent="0.25">
      <c r="A59" t="s">
        <v>85</v>
      </c>
      <c r="B59">
        <v>39</v>
      </c>
      <c r="C59" t="s">
        <v>46</v>
      </c>
      <c r="D59">
        <v>17</v>
      </c>
      <c r="E59" t="s">
        <v>12</v>
      </c>
      <c r="F59" t="s">
        <v>19</v>
      </c>
      <c r="G59" t="s">
        <v>15</v>
      </c>
      <c r="H59" t="s">
        <v>15</v>
      </c>
      <c r="I59" t="s">
        <v>15</v>
      </c>
      <c r="J59" t="s">
        <v>16</v>
      </c>
      <c r="K59" t="str">
        <f t="shared" si="0"/>
        <v>Middle Age</v>
      </c>
      <c r="L59">
        <v>1</v>
      </c>
    </row>
    <row r="60" spans="1:12" x14ac:dyDescent="0.25">
      <c r="A60" t="s">
        <v>86</v>
      </c>
      <c r="B60">
        <v>54</v>
      </c>
      <c r="C60" t="s">
        <v>39</v>
      </c>
      <c r="D60">
        <v>31</v>
      </c>
      <c r="E60" t="s">
        <v>18</v>
      </c>
      <c r="F60" t="s">
        <v>19</v>
      </c>
      <c r="G60" t="s">
        <v>14</v>
      </c>
      <c r="H60" t="s">
        <v>15</v>
      </c>
      <c r="I60" t="s">
        <v>14</v>
      </c>
      <c r="J60" t="s">
        <v>22</v>
      </c>
      <c r="K60" t="str">
        <f t="shared" si="0"/>
        <v>Older women</v>
      </c>
      <c r="L60">
        <v>1</v>
      </c>
    </row>
    <row r="61" spans="1:12" x14ac:dyDescent="0.25">
      <c r="A61" t="s">
        <v>87</v>
      </c>
      <c r="B61">
        <v>66</v>
      </c>
      <c r="C61" t="s">
        <v>46</v>
      </c>
      <c r="D61">
        <v>5</v>
      </c>
      <c r="E61" t="s">
        <v>18</v>
      </c>
      <c r="F61" t="s">
        <v>13</v>
      </c>
      <c r="G61" t="s">
        <v>14</v>
      </c>
      <c r="H61" t="s">
        <v>15</v>
      </c>
      <c r="I61" t="s">
        <v>15</v>
      </c>
      <c r="J61" t="s">
        <v>16</v>
      </c>
      <c r="K61" t="str">
        <f t="shared" si="0"/>
        <v>Older women</v>
      </c>
      <c r="L61">
        <v>1</v>
      </c>
    </row>
    <row r="62" spans="1:12" x14ac:dyDescent="0.25">
      <c r="A62" t="s">
        <v>88</v>
      </c>
      <c r="B62">
        <v>40</v>
      </c>
      <c r="C62" t="s">
        <v>30</v>
      </c>
      <c r="D62">
        <v>12</v>
      </c>
      <c r="E62" t="s">
        <v>25</v>
      </c>
      <c r="F62" t="s">
        <v>13</v>
      </c>
      <c r="G62" t="s">
        <v>15</v>
      </c>
      <c r="H62" t="s">
        <v>14</v>
      </c>
      <c r="I62" t="s">
        <v>14</v>
      </c>
      <c r="J62" t="s">
        <v>16</v>
      </c>
      <c r="K62" t="str">
        <f t="shared" si="0"/>
        <v>Middle Age</v>
      </c>
      <c r="L62">
        <v>1</v>
      </c>
    </row>
    <row r="63" spans="1:12" x14ac:dyDescent="0.25">
      <c r="A63" t="s">
        <v>89</v>
      </c>
      <c r="B63">
        <v>57</v>
      </c>
      <c r="C63" t="s">
        <v>46</v>
      </c>
      <c r="D63">
        <v>32</v>
      </c>
      <c r="E63" t="s">
        <v>25</v>
      </c>
      <c r="F63" t="s">
        <v>19</v>
      </c>
      <c r="G63" t="s">
        <v>15</v>
      </c>
      <c r="H63" t="s">
        <v>14</v>
      </c>
      <c r="I63" t="s">
        <v>14</v>
      </c>
      <c r="J63" t="s">
        <v>22</v>
      </c>
      <c r="K63" t="str">
        <f t="shared" si="0"/>
        <v>Older women</v>
      </c>
      <c r="L63">
        <v>1</v>
      </c>
    </row>
    <row r="64" spans="1:12" x14ac:dyDescent="0.25">
      <c r="A64" t="s">
        <v>90</v>
      </c>
      <c r="B64">
        <v>65</v>
      </c>
      <c r="C64" t="s">
        <v>46</v>
      </c>
      <c r="D64">
        <v>22</v>
      </c>
      <c r="E64" t="s">
        <v>18</v>
      </c>
      <c r="F64" t="s">
        <v>13</v>
      </c>
      <c r="G64" t="s">
        <v>15</v>
      </c>
      <c r="H64" t="s">
        <v>14</v>
      </c>
      <c r="I64" t="s">
        <v>14</v>
      </c>
      <c r="J64" t="s">
        <v>22</v>
      </c>
      <c r="K64" t="str">
        <f t="shared" si="0"/>
        <v>Older women</v>
      </c>
      <c r="L64">
        <v>1</v>
      </c>
    </row>
    <row r="65" spans="1:12" x14ac:dyDescent="0.25">
      <c r="A65" t="s">
        <v>91</v>
      </c>
      <c r="B65">
        <v>43</v>
      </c>
      <c r="C65" t="s">
        <v>11</v>
      </c>
      <c r="D65">
        <v>20</v>
      </c>
      <c r="E65" t="s">
        <v>18</v>
      </c>
      <c r="F65" t="s">
        <v>19</v>
      </c>
      <c r="G65" t="s">
        <v>14</v>
      </c>
      <c r="H65" t="s">
        <v>14</v>
      </c>
      <c r="I65" t="s">
        <v>14</v>
      </c>
      <c r="J65" t="s">
        <v>16</v>
      </c>
      <c r="K65" t="str">
        <f t="shared" si="0"/>
        <v>Middle Age</v>
      </c>
      <c r="L65">
        <v>1</v>
      </c>
    </row>
    <row r="66" spans="1:12" x14ac:dyDescent="0.25">
      <c r="A66" t="s">
        <v>92</v>
      </c>
      <c r="B66">
        <v>39</v>
      </c>
      <c r="C66" t="s">
        <v>39</v>
      </c>
      <c r="D66">
        <v>29</v>
      </c>
      <c r="E66" t="s">
        <v>25</v>
      </c>
      <c r="F66" t="s">
        <v>33</v>
      </c>
      <c r="G66" t="s">
        <v>15</v>
      </c>
      <c r="H66" t="s">
        <v>15</v>
      </c>
      <c r="I66" t="s">
        <v>15</v>
      </c>
      <c r="J66" t="s">
        <v>22</v>
      </c>
      <c r="K66" t="str">
        <f t="shared" si="0"/>
        <v>Middle Age</v>
      </c>
      <c r="L66">
        <v>1</v>
      </c>
    </row>
    <row r="67" spans="1:12" x14ac:dyDescent="0.25">
      <c r="A67" t="s">
        <v>93</v>
      </c>
      <c r="B67">
        <v>59</v>
      </c>
      <c r="C67" t="s">
        <v>39</v>
      </c>
      <c r="D67">
        <v>34</v>
      </c>
      <c r="E67" t="s">
        <v>25</v>
      </c>
      <c r="F67" t="s">
        <v>13</v>
      </c>
      <c r="G67" t="s">
        <v>15</v>
      </c>
      <c r="H67" t="s">
        <v>14</v>
      </c>
      <c r="I67" t="s">
        <v>15</v>
      </c>
      <c r="J67" t="s">
        <v>22</v>
      </c>
      <c r="K67" t="str">
        <f t="shared" ref="K67:K121" si="1">IF(B67&lt;35,"Young Adult",IF(B67&lt;=50,"Middle Age","Older women"))</f>
        <v>Older women</v>
      </c>
      <c r="L67">
        <v>1</v>
      </c>
    </row>
    <row r="68" spans="1:12" x14ac:dyDescent="0.25">
      <c r="A68" t="s">
        <v>94</v>
      </c>
      <c r="B68">
        <v>69</v>
      </c>
      <c r="C68" t="s">
        <v>30</v>
      </c>
      <c r="D68">
        <v>6</v>
      </c>
      <c r="E68" t="s">
        <v>25</v>
      </c>
      <c r="F68" t="s">
        <v>33</v>
      </c>
      <c r="G68" t="s">
        <v>14</v>
      </c>
      <c r="H68" t="s">
        <v>14</v>
      </c>
      <c r="I68" t="s">
        <v>15</v>
      </c>
      <c r="J68" t="s">
        <v>16</v>
      </c>
      <c r="K68" t="str">
        <f t="shared" si="1"/>
        <v>Older women</v>
      </c>
      <c r="L68">
        <v>1</v>
      </c>
    </row>
    <row r="69" spans="1:12" x14ac:dyDescent="0.25">
      <c r="A69" t="s">
        <v>95</v>
      </c>
      <c r="B69">
        <v>51</v>
      </c>
      <c r="C69" t="s">
        <v>21</v>
      </c>
      <c r="D69">
        <v>39</v>
      </c>
      <c r="E69" t="s">
        <v>25</v>
      </c>
      <c r="F69" t="s">
        <v>33</v>
      </c>
      <c r="G69" t="s">
        <v>14</v>
      </c>
      <c r="H69" t="s">
        <v>15</v>
      </c>
      <c r="I69" t="s">
        <v>15</v>
      </c>
      <c r="J69" t="s">
        <v>22</v>
      </c>
      <c r="K69" t="str">
        <f t="shared" si="1"/>
        <v>Older women</v>
      </c>
      <c r="L69">
        <v>1</v>
      </c>
    </row>
    <row r="70" spans="1:12" x14ac:dyDescent="0.25">
      <c r="A70" t="s">
        <v>96</v>
      </c>
      <c r="B70">
        <v>26</v>
      </c>
      <c r="C70" t="s">
        <v>46</v>
      </c>
      <c r="D70">
        <v>29</v>
      </c>
      <c r="E70" t="s">
        <v>18</v>
      </c>
      <c r="F70" t="s">
        <v>13</v>
      </c>
      <c r="G70" t="s">
        <v>14</v>
      </c>
      <c r="H70" t="s">
        <v>14</v>
      </c>
      <c r="I70" t="s">
        <v>15</v>
      </c>
      <c r="J70" t="s">
        <v>22</v>
      </c>
      <c r="K70" t="str">
        <f t="shared" si="1"/>
        <v>Young Adult</v>
      </c>
      <c r="L70">
        <v>1</v>
      </c>
    </row>
    <row r="71" spans="1:12" x14ac:dyDescent="0.25">
      <c r="A71" t="s">
        <v>97</v>
      </c>
      <c r="B71">
        <v>59</v>
      </c>
      <c r="C71" t="s">
        <v>39</v>
      </c>
      <c r="D71">
        <v>6</v>
      </c>
      <c r="E71" t="s">
        <v>18</v>
      </c>
      <c r="F71" t="s">
        <v>33</v>
      </c>
      <c r="G71" t="s">
        <v>15</v>
      </c>
      <c r="H71" t="s">
        <v>14</v>
      </c>
      <c r="I71" t="s">
        <v>15</v>
      </c>
      <c r="J71" t="s">
        <v>16</v>
      </c>
      <c r="K71" t="str">
        <f t="shared" si="1"/>
        <v>Older women</v>
      </c>
      <c r="L71">
        <v>1</v>
      </c>
    </row>
    <row r="72" spans="1:12" x14ac:dyDescent="0.25">
      <c r="A72" t="s">
        <v>98</v>
      </c>
      <c r="B72">
        <v>36</v>
      </c>
      <c r="C72" t="s">
        <v>24</v>
      </c>
      <c r="D72">
        <v>8</v>
      </c>
      <c r="E72" t="s">
        <v>25</v>
      </c>
      <c r="F72" t="s">
        <v>33</v>
      </c>
      <c r="G72" t="s">
        <v>14</v>
      </c>
      <c r="H72" t="s">
        <v>14</v>
      </c>
      <c r="I72" t="s">
        <v>14</v>
      </c>
      <c r="J72" t="s">
        <v>16</v>
      </c>
      <c r="K72" t="str">
        <f t="shared" si="1"/>
        <v>Middle Age</v>
      </c>
      <c r="L72">
        <v>1</v>
      </c>
    </row>
    <row r="73" spans="1:12" x14ac:dyDescent="0.25">
      <c r="A73" t="s">
        <v>99</v>
      </c>
      <c r="B73">
        <v>46</v>
      </c>
      <c r="C73" t="s">
        <v>11</v>
      </c>
      <c r="D73">
        <v>29</v>
      </c>
      <c r="E73" t="s">
        <v>25</v>
      </c>
      <c r="F73" t="s">
        <v>19</v>
      </c>
      <c r="G73" t="s">
        <v>14</v>
      </c>
      <c r="H73" t="s">
        <v>14</v>
      </c>
      <c r="I73" t="s">
        <v>14</v>
      </c>
      <c r="J73" t="s">
        <v>22</v>
      </c>
      <c r="K73" t="str">
        <f t="shared" si="1"/>
        <v>Middle Age</v>
      </c>
      <c r="L73">
        <v>1</v>
      </c>
    </row>
    <row r="74" spans="1:12" x14ac:dyDescent="0.25">
      <c r="A74" t="s">
        <v>100</v>
      </c>
      <c r="B74">
        <v>59</v>
      </c>
      <c r="C74" t="s">
        <v>44</v>
      </c>
      <c r="D74">
        <v>8</v>
      </c>
      <c r="E74" t="s">
        <v>18</v>
      </c>
      <c r="F74" t="s">
        <v>19</v>
      </c>
      <c r="G74" t="s">
        <v>15</v>
      </c>
      <c r="H74" t="s">
        <v>14</v>
      </c>
      <c r="I74" t="s">
        <v>15</v>
      </c>
      <c r="J74" t="s">
        <v>16</v>
      </c>
      <c r="K74" t="str">
        <f t="shared" si="1"/>
        <v>Older women</v>
      </c>
      <c r="L74">
        <v>1</v>
      </c>
    </row>
    <row r="75" spans="1:12" x14ac:dyDescent="0.25">
      <c r="A75" t="s">
        <v>101</v>
      </c>
      <c r="B75">
        <v>37</v>
      </c>
      <c r="C75" t="s">
        <v>11</v>
      </c>
      <c r="D75">
        <v>6</v>
      </c>
      <c r="E75" t="s">
        <v>12</v>
      </c>
      <c r="F75" t="s">
        <v>19</v>
      </c>
      <c r="G75" t="s">
        <v>15</v>
      </c>
      <c r="H75" t="s">
        <v>15</v>
      </c>
      <c r="I75" t="s">
        <v>15</v>
      </c>
      <c r="J75" t="s">
        <v>22</v>
      </c>
      <c r="K75" t="str">
        <f t="shared" si="1"/>
        <v>Middle Age</v>
      </c>
      <c r="L75">
        <v>1</v>
      </c>
    </row>
    <row r="76" spans="1:12" x14ac:dyDescent="0.25">
      <c r="A76" t="s">
        <v>102</v>
      </c>
      <c r="B76">
        <v>54</v>
      </c>
      <c r="C76" t="s">
        <v>32</v>
      </c>
      <c r="D76">
        <v>21</v>
      </c>
      <c r="E76" t="s">
        <v>25</v>
      </c>
      <c r="F76" t="s">
        <v>19</v>
      </c>
      <c r="G76" t="s">
        <v>15</v>
      </c>
      <c r="H76" t="s">
        <v>14</v>
      </c>
      <c r="I76" t="s">
        <v>15</v>
      </c>
      <c r="J76" t="s">
        <v>22</v>
      </c>
      <c r="K76" t="str">
        <f t="shared" si="1"/>
        <v>Older women</v>
      </c>
      <c r="L76">
        <v>1</v>
      </c>
    </row>
    <row r="77" spans="1:12" x14ac:dyDescent="0.25">
      <c r="A77" t="s">
        <v>103</v>
      </c>
      <c r="B77">
        <v>62</v>
      </c>
      <c r="C77" t="s">
        <v>24</v>
      </c>
      <c r="D77">
        <v>6</v>
      </c>
      <c r="E77" t="s">
        <v>18</v>
      </c>
      <c r="F77" t="s">
        <v>13</v>
      </c>
      <c r="G77" t="s">
        <v>14</v>
      </c>
      <c r="H77" t="s">
        <v>14</v>
      </c>
      <c r="I77" t="s">
        <v>14</v>
      </c>
      <c r="J77" t="s">
        <v>16</v>
      </c>
      <c r="K77" t="str">
        <f t="shared" si="1"/>
        <v>Older women</v>
      </c>
      <c r="L77">
        <v>1</v>
      </c>
    </row>
    <row r="78" spans="1:12" x14ac:dyDescent="0.25">
      <c r="A78" t="s">
        <v>104</v>
      </c>
      <c r="B78">
        <v>69</v>
      </c>
      <c r="C78" t="s">
        <v>44</v>
      </c>
      <c r="D78">
        <v>20</v>
      </c>
      <c r="E78" t="s">
        <v>25</v>
      </c>
      <c r="F78" t="s">
        <v>13</v>
      </c>
      <c r="G78" t="s">
        <v>14</v>
      </c>
      <c r="H78" t="s">
        <v>15</v>
      </c>
      <c r="I78" t="s">
        <v>15</v>
      </c>
      <c r="J78" t="s">
        <v>22</v>
      </c>
      <c r="K78" t="str">
        <f t="shared" si="1"/>
        <v>Older women</v>
      </c>
      <c r="L78">
        <v>1</v>
      </c>
    </row>
    <row r="79" spans="1:12" x14ac:dyDescent="0.25">
      <c r="A79" t="s">
        <v>105</v>
      </c>
      <c r="B79">
        <v>52</v>
      </c>
      <c r="C79" t="s">
        <v>39</v>
      </c>
      <c r="D79">
        <v>28</v>
      </c>
      <c r="E79" t="s">
        <v>25</v>
      </c>
      <c r="F79" t="s">
        <v>19</v>
      </c>
      <c r="G79" t="s">
        <v>14</v>
      </c>
      <c r="H79" t="s">
        <v>15</v>
      </c>
      <c r="I79" t="s">
        <v>15</v>
      </c>
      <c r="J79" t="s">
        <v>22</v>
      </c>
      <c r="K79" t="str">
        <f t="shared" si="1"/>
        <v>Older women</v>
      </c>
      <c r="L79">
        <v>1</v>
      </c>
    </row>
    <row r="80" spans="1:12" x14ac:dyDescent="0.25">
      <c r="A80" t="s">
        <v>106</v>
      </c>
      <c r="B80">
        <v>52</v>
      </c>
      <c r="C80" t="s">
        <v>32</v>
      </c>
      <c r="D80">
        <v>28</v>
      </c>
      <c r="E80" t="s">
        <v>12</v>
      </c>
      <c r="F80" t="s">
        <v>13</v>
      </c>
      <c r="G80" t="s">
        <v>15</v>
      </c>
      <c r="H80" t="s">
        <v>14</v>
      </c>
      <c r="I80" t="s">
        <v>14</v>
      </c>
      <c r="J80" t="s">
        <v>22</v>
      </c>
      <c r="K80" t="str">
        <f t="shared" si="1"/>
        <v>Older women</v>
      </c>
      <c r="L80">
        <v>1</v>
      </c>
    </row>
    <row r="81" spans="1:12" x14ac:dyDescent="0.25">
      <c r="A81" t="s">
        <v>107</v>
      </c>
      <c r="B81">
        <v>66</v>
      </c>
      <c r="C81" t="s">
        <v>21</v>
      </c>
      <c r="D81">
        <v>22</v>
      </c>
      <c r="E81" t="s">
        <v>25</v>
      </c>
      <c r="F81" t="s">
        <v>19</v>
      </c>
      <c r="G81" t="s">
        <v>14</v>
      </c>
      <c r="H81" t="s">
        <v>14</v>
      </c>
      <c r="I81" t="s">
        <v>14</v>
      </c>
      <c r="J81" t="s">
        <v>22</v>
      </c>
      <c r="K81" t="str">
        <f t="shared" si="1"/>
        <v>Older women</v>
      </c>
      <c r="L81">
        <v>1</v>
      </c>
    </row>
    <row r="82" spans="1:12" x14ac:dyDescent="0.25">
      <c r="A82" t="s">
        <v>108</v>
      </c>
      <c r="B82">
        <v>30</v>
      </c>
      <c r="C82" t="s">
        <v>39</v>
      </c>
      <c r="D82">
        <v>22</v>
      </c>
      <c r="E82" t="s">
        <v>25</v>
      </c>
      <c r="F82" t="s">
        <v>19</v>
      </c>
      <c r="G82" t="s">
        <v>15</v>
      </c>
      <c r="H82" t="s">
        <v>14</v>
      </c>
      <c r="I82" t="s">
        <v>14</v>
      </c>
      <c r="J82" t="s">
        <v>22</v>
      </c>
      <c r="K82" t="str">
        <f t="shared" si="1"/>
        <v>Young Adult</v>
      </c>
      <c r="L82">
        <v>1</v>
      </c>
    </row>
    <row r="83" spans="1:12" x14ac:dyDescent="0.25">
      <c r="A83" t="s">
        <v>109</v>
      </c>
      <c r="B83">
        <v>56</v>
      </c>
      <c r="C83" t="s">
        <v>30</v>
      </c>
      <c r="D83">
        <v>25</v>
      </c>
      <c r="E83" t="s">
        <v>25</v>
      </c>
      <c r="F83" t="s">
        <v>33</v>
      </c>
      <c r="G83" t="s">
        <v>14</v>
      </c>
      <c r="H83" t="s">
        <v>15</v>
      </c>
      <c r="I83" t="s">
        <v>15</v>
      </c>
      <c r="J83" t="s">
        <v>22</v>
      </c>
      <c r="K83" t="str">
        <f t="shared" si="1"/>
        <v>Older women</v>
      </c>
      <c r="L83">
        <v>1</v>
      </c>
    </row>
    <row r="84" spans="1:12" x14ac:dyDescent="0.25">
      <c r="A84" t="s">
        <v>110</v>
      </c>
      <c r="B84">
        <v>42</v>
      </c>
      <c r="C84" t="s">
        <v>24</v>
      </c>
      <c r="D84">
        <v>22</v>
      </c>
      <c r="E84" t="s">
        <v>12</v>
      </c>
      <c r="F84" t="s">
        <v>33</v>
      </c>
      <c r="G84" t="s">
        <v>15</v>
      </c>
      <c r="H84" t="s">
        <v>15</v>
      </c>
      <c r="I84" t="s">
        <v>15</v>
      </c>
      <c r="J84" t="s">
        <v>22</v>
      </c>
      <c r="K84" t="str">
        <f t="shared" si="1"/>
        <v>Middle Age</v>
      </c>
      <c r="L84">
        <v>1</v>
      </c>
    </row>
    <row r="85" spans="1:12" x14ac:dyDescent="0.25">
      <c r="A85" t="s">
        <v>111</v>
      </c>
      <c r="B85">
        <v>56</v>
      </c>
      <c r="C85" t="s">
        <v>46</v>
      </c>
      <c r="D85">
        <v>40</v>
      </c>
      <c r="E85" t="s">
        <v>18</v>
      </c>
      <c r="F85" t="s">
        <v>19</v>
      </c>
      <c r="G85" t="s">
        <v>14</v>
      </c>
      <c r="H85" t="s">
        <v>15</v>
      </c>
      <c r="I85" t="s">
        <v>14</v>
      </c>
      <c r="J85" t="s">
        <v>22</v>
      </c>
      <c r="K85" t="str">
        <f t="shared" si="1"/>
        <v>Older women</v>
      </c>
      <c r="L85">
        <v>1</v>
      </c>
    </row>
    <row r="86" spans="1:12" x14ac:dyDescent="0.25">
      <c r="A86" t="s">
        <v>112</v>
      </c>
      <c r="B86">
        <v>43</v>
      </c>
      <c r="C86" t="s">
        <v>30</v>
      </c>
      <c r="D86">
        <v>19</v>
      </c>
      <c r="E86" t="s">
        <v>25</v>
      </c>
      <c r="F86" t="s">
        <v>13</v>
      </c>
      <c r="G86" t="s">
        <v>15</v>
      </c>
      <c r="H86" t="s">
        <v>14</v>
      </c>
      <c r="I86" t="s">
        <v>14</v>
      </c>
      <c r="J86" t="s">
        <v>16</v>
      </c>
      <c r="K86" t="str">
        <f t="shared" si="1"/>
        <v>Middle Age</v>
      </c>
      <c r="L86">
        <v>1</v>
      </c>
    </row>
    <row r="87" spans="1:12" x14ac:dyDescent="0.25">
      <c r="A87" t="s">
        <v>113</v>
      </c>
      <c r="B87">
        <v>58</v>
      </c>
      <c r="C87" t="s">
        <v>46</v>
      </c>
      <c r="D87">
        <v>27</v>
      </c>
      <c r="E87" t="s">
        <v>25</v>
      </c>
      <c r="F87" t="s">
        <v>33</v>
      </c>
      <c r="G87" t="s">
        <v>14</v>
      </c>
      <c r="H87" t="s">
        <v>14</v>
      </c>
      <c r="I87" t="s">
        <v>14</v>
      </c>
      <c r="J87" t="s">
        <v>22</v>
      </c>
      <c r="K87" t="str">
        <f t="shared" si="1"/>
        <v>Older women</v>
      </c>
      <c r="L87">
        <v>1</v>
      </c>
    </row>
    <row r="88" spans="1:12" x14ac:dyDescent="0.25">
      <c r="A88" t="s">
        <v>114</v>
      </c>
      <c r="B88">
        <v>41</v>
      </c>
      <c r="C88" t="s">
        <v>32</v>
      </c>
      <c r="D88">
        <v>19</v>
      </c>
      <c r="E88" t="s">
        <v>18</v>
      </c>
      <c r="F88" t="s">
        <v>19</v>
      </c>
      <c r="G88" t="s">
        <v>15</v>
      </c>
      <c r="H88" t="s">
        <v>15</v>
      </c>
      <c r="I88" t="s">
        <v>14</v>
      </c>
      <c r="J88" t="s">
        <v>16</v>
      </c>
      <c r="K88" t="str">
        <f t="shared" si="1"/>
        <v>Middle Age</v>
      </c>
      <c r="L88">
        <v>1</v>
      </c>
    </row>
    <row r="89" spans="1:12" x14ac:dyDescent="0.25">
      <c r="A89" t="s">
        <v>115</v>
      </c>
      <c r="B89">
        <v>55</v>
      </c>
      <c r="C89" t="s">
        <v>21</v>
      </c>
      <c r="D89">
        <v>22</v>
      </c>
      <c r="E89" t="s">
        <v>18</v>
      </c>
      <c r="F89" t="s">
        <v>33</v>
      </c>
      <c r="G89" t="s">
        <v>15</v>
      </c>
      <c r="H89" t="s">
        <v>14</v>
      </c>
      <c r="I89" t="s">
        <v>15</v>
      </c>
      <c r="J89" t="s">
        <v>22</v>
      </c>
      <c r="K89" t="str">
        <f t="shared" si="1"/>
        <v>Older women</v>
      </c>
      <c r="L89">
        <v>1</v>
      </c>
    </row>
    <row r="90" spans="1:12" x14ac:dyDescent="0.25">
      <c r="A90" t="s">
        <v>116</v>
      </c>
      <c r="B90">
        <v>36</v>
      </c>
      <c r="C90" t="s">
        <v>44</v>
      </c>
      <c r="D90">
        <v>24</v>
      </c>
      <c r="E90" t="s">
        <v>18</v>
      </c>
      <c r="F90" t="s">
        <v>13</v>
      </c>
      <c r="G90" t="s">
        <v>15</v>
      </c>
      <c r="H90" t="s">
        <v>15</v>
      </c>
      <c r="I90" t="s">
        <v>14</v>
      </c>
      <c r="J90" t="s">
        <v>22</v>
      </c>
      <c r="K90" t="str">
        <f t="shared" si="1"/>
        <v>Middle Age</v>
      </c>
      <c r="L90">
        <v>1</v>
      </c>
    </row>
    <row r="91" spans="1:12" x14ac:dyDescent="0.25">
      <c r="A91" t="s">
        <v>117</v>
      </c>
      <c r="B91">
        <v>43</v>
      </c>
      <c r="C91" t="s">
        <v>21</v>
      </c>
      <c r="D91">
        <v>13</v>
      </c>
      <c r="E91" t="s">
        <v>25</v>
      </c>
      <c r="F91" t="s">
        <v>33</v>
      </c>
      <c r="G91" t="s">
        <v>15</v>
      </c>
      <c r="H91" t="s">
        <v>14</v>
      </c>
      <c r="I91" t="s">
        <v>15</v>
      </c>
      <c r="J91" t="s">
        <v>16</v>
      </c>
      <c r="K91" t="str">
        <f t="shared" si="1"/>
        <v>Middle Age</v>
      </c>
      <c r="L91">
        <v>1</v>
      </c>
    </row>
    <row r="92" spans="1:12" x14ac:dyDescent="0.25">
      <c r="A92" t="s">
        <v>118</v>
      </c>
      <c r="B92">
        <v>53</v>
      </c>
      <c r="C92" t="s">
        <v>46</v>
      </c>
      <c r="D92">
        <v>26</v>
      </c>
      <c r="E92" t="s">
        <v>18</v>
      </c>
      <c r="F92" t="s">
        <v>19</v>
      </c>
      <c r="G92" t="s">
        <v>15</v>
      </c>
      <c r="H92" t="s">
        <v>15</v>
      </c>
      <c r="I92" t="s">
        <v>14</v>
      </c>
      <c r="J92" t="s">
        <v>22</v>
      </c>
      <c r="K92" t="str">
        <f t="shared" si="1"/>
        <v>Older women</v>
      </c>
      <c r="L92">
        <v>1</v>
      </c>
    </row>
    <row r="93" spans="1:12" x14ac:dyDescent="0.25">
      <c r="A93" t="s">
        <v>119</v>
      </c>
      <c r="B93">
        <v>50</v>
      </c>
      <c r="C93" t="s">
        <v>32</v>
      </c>
      <c r="D93">
        <v>36</v>
      </c>
      <c r="E93" t="s">
        <v>12</v>
      </c>
      <c r="F93" t="s">
        <v>33</v>
      </c>
      <c r="G93" t="s">
        <v>15</v>
      </c>
      <c r="H93" t="s">
        <v>15</v>
      </c>
      <c r="I93" t="s">
        <v>15</v>
      </c>
      <c r="J93" t="s">
        <v>22</v>
      </c>
      <c r="K93" t="str">
        <f t="shared" si="1"/>
        <v>Middle Age</v>
      </c>
      <c r="L93">
        <v>1</v>
      </c>
    </row>
    <row r="94" spans="1:12" x14ac:dyDescent="0.25">
      <c r="B94">
        <v>30</v>
      </c>
      <c r="C94" t="s">
        <v>39</v>
      </c>
      <c r="D94">
        <v>20</v>
      </c>
      <c r="E94" t="s">
        <v>25</v>
      </c>
      <c r="F94" t="s">
        <v>33</v>
      </c>
      <c r="G94" t="s">
        <v>14</v>
      </c>
      <c r="H94" t="s">
        <v>15</v>
      </c>
      <c r="I94" t="s">
        <v>15</v>
      </c>
      <c r="J94" t="s">
        <v>22</v>
      </c>
      <c r="K94" t="str">
        <f t="shared" si="1"/>
        <v>Young Adult</v>
      </c>
      <c r="L94">
        <v>1</v>
      </c>
    </row>
    <row r="95" spans="1:12" x14ac:dyDescent="0.25">
      <c r="A95" t="s">
        <v>120</v>
      </c>
      <c r="B95">
        <v>44</v>
      </c>
      <c r="C95" t="s">
        <v>24</v>
      </c>
      <c r="D95">
        <v>32</v>
      </c>
      <c r="E95" t="s">
        <v>12</v>
      </c>
      <c r="F95" t="s">
        <v>19</v>
      </c>
      <c r="G95" t="s">
        <v>15</v>
      </c>
      <c r="H95" t="s">
        <v>14</v>
      </c>
      <c r="I95" t="s">
        <v>15</v>
      </c>
      <c r="J95" t="s">
        <v>22</v>
      </c>
      <c r="K95" t="str">
        <f t="shared" si="1"/>
        <v>Middle Age</v>
      </c>
      <c r="L95">
        <v>1</v>
      </c>
    </row>
    <row r="96" spans="1:12" x14ac:dyDescent="0.25">
      <c r="A96" t="s">
        <v>121</v>
      </c>
      <c r="B96">
        <v>41</v>
      </c>
      <c r="C96" t="s">
        <v>32</v>
      </c>
      <c r="D96">
        <v>10</v>
      </c>
      <c r="E96" t="s">
        <v>18</v>
      </c>
      <c r="F96" t="s">
        <v>33</v>
      </c>
      <c r="G96" t="s">
        <v>15</v>
      </c>
      <c r="H96" t="s">
        <v>15</v>
      </c>
      <c r="I96" t="s">
        <v>15</v>
      </c>
      <c r="J96" t="s">
        <v>22</v>
      </c>
      <c r="K96" t="str">
        <f t="shared" si="1"/>
        <v>Middle Age</v>
      </c>
      <c r="L96">
        <v>1</v>
      </c>
    </row>
    <row r="97" spans="1:12" x14ac:dyDescent="0.25">
      <c r="A97" t="s">
        <v>122</v>
      </c>
      <c r="B97">
        <v>53</v>
      </c>
      <c r="C97" t="s">
        <v>21</v>
      </c>
      <c r="D97">
        <v>35</v>
      </c>
      <c r="E97" t="s">
        <v>12</v>
      </c>
      <c r="F97" t="s">
        <v>33</v>
      </c>
      <c r="G97" t="s">
        <v>15</v>
      </c>
      <c r="H97" t="s">
        <v>14</v>
      </c>
      <c r="I97" t="s">
        <v>15</v>
      </c>
      <c r="J97" t="s">
        <v>22</v>
      </c>
      <c r="K97" t="str">
        <f t="shared" si="1"/>
        <v>Older women</v>
      </c>
      <c r="L97">
        <v>1</v>
      </c>
    </row>
    <row r="98" spans="1:12" x14ac:dyDescent="0.25">
      <c r="A98" t="s">
        <v>123</v>
      </c>
      <c r="B98">
        <v>69</v>
      </c>
      <c r="C98" t="s">
        <v>24</v>
      </c>
      <c r="D98">
        <v>34</v>
      </c>
      <c r="E98" t="s">
        <v>25</v>
      </c>
      <c r="F98" t="s">
        <v>19</v>
      </c>
      <c r="G98" t="s">
        <v>15</v>
      </c>
      <c r="H98" t="s">
        <v>15</v>
      </c>
      <c r="I98" t="s">
        <v>14</v>
      </c>
      <c r="J98" t="s">
        <v>22</v>
      </c>
      <c r="K98" t="str">
        <f t="shared" si="1"/>
        <v>Older women</v>
      </c>
      <c r="L98">
        <v>1</v>
      </c>
    </row>
    <row r="99" spans="1:12" x14ac:dyDescent="0.25">
      <c r="A99" t="s">
        <v>124</v>
      </c>
      <c r="B99">
        <v>59</v>
      </c>
      <c r="C99" t="s">
        <v>32</v>
      </c>
      <c r="D99">
        <v>19</v>
      </c>
      <c r="E99" t="s">
        <v>25</v>
      </c>
      <c r="F99" t="s">
        <v>13</v>
      </c>
      <c r="G99" t="s">
        <v>14</v>
      </c>
      <c r="H99" t="s">
        <v>15</v>
      </c>
      <c r="I99" t="s">
        <v>15</v>
      </c>
      <c r="J99" t="s">
        <v>16</v>
      </c>
      <c r="K99" t="str">
        <f t="shared" si="1"/>
        <v>Older women</v>
      </c>
      <c r="L99">
        <v>1</v>
      </c>
    </row>
    <row r="100" spans="1:12" x14ac:dyDescent="0.25">
      <c r="A100" t="s">
        <v>125</v>
      </c>
      <c r="B100">
        <v>61</v>
      </c>
      <c r="C100" t="s">
        <v>21</v>
      </c>
      <c r="D100">
        <v>23</v>
      </c>
      <c r="E100" t="s">
        <v>12</v>
      </c>
      <c r="F100" t="s">
        <v>33</v>
      </c>
      <c r="G100" t="s">
        <v>15</v>
      </c>
      <c r="H100" t="s">
        <v>14</v>
      </c>
      <c r="I100" t="s">
        <v>14</v>
      </c>
      <c r="J100" t="s">
        <v>22</v>
      </c>
      <c r="K100" t="str">
        <f t="shared" si="1"/>
        <v>Older women</v>
      </c>
      <c r="L100">
        <v>1</v>
      </c>
    </row>
    <row r="101" spans="1:12" x14ac:dyDescent="0.25">
      <c r="A101" t="s">
        <v>126</v>
      </c>
      <c r="B101">
        <v>42</v>
      </c>
      <c r="C101" t="s">
        <v>44</v>
      </c>
      <c r="D101">
        <v>37</v>
      </c>
      <c r="E101" t="s">
        <v>25</v>
      </c>
      <c r="F101" t="s">
        <v>13</v>
      </c>
      <c r="G101" t="s">
        <v>14</v>
      </c>
      <c r="H101" t="s">
        <v>14</v>
      </c>
      <c r="I101" t="s">
        <v>15</v>
      </c>
      <c r="J101" t="s">
        <v>22</v>
      </c>
      <c r="K101" t="str">
        <f t="shared" si="1"/>
        <v>Middle Age</v>
      </c>
      <c r="L101">
        <v>1</v>
      </c>
    </row>
    <row r="102" spans="1:12" x14ac:dyDescent="0.25">
      <c r="A102" t="s">
        <v>127</v>
      </c>
      <c r="B102">
        <v>45</v>
      </c>
      <c r="C102" t="s">
        <v>44</v>
      </c>
      <c r="D102">
        <v>21</v>
      </c>
      <c r="E102" t="s">
        <v>12</v>
      </c>
      <c r="F102" t="s">
        <v>33</v>
      </c>
      <c r="G102" t="s">
        <v>15</v>
      </c>
      <c r="H102" t="s">
        <v>15</v>
      </c>
      <c r="I102" t="s">
        <v>15</v>
      </c>
      <c r="J102" t="s">
        <v>22</v>
      </c>
      <c r="K102" t="str">
        <f t="shared" si="1"/>
        <v>Middle Age</v>
      </c>
      <c r="L102">
        <v>1</v>
      </c>
    </row>
    <row r="103" spans="1:12" x14ac:dyDescent="0.25">
      <c r="A103" t="s">
        <v>128</v>
      </c>
      <c r="B103">
        <v>61</v>
      </c>
      <c r="C103" t="s">
        <v>32</v>
      </c>
      <c r="D103">
        <v>7</v>
      </c>
      <c r="E103" t="s">
        <v>12</v>
      </c>
      <c r="F103" t="s">
        <v>33</v>
      </c>
      <c r="G103" t="s">
        <v>14</v>
      </c>
      <c r="H103" t="s">
        <v>15</v>
      </c>
      <c r="I103" t="s">
        <v>14</v>
      </c>
      <c r="J103" t="s">
        <v>22</v>
      </c>
      <c r="K103" t="str">
        <f t="shared" si="1"/>
        <v>Older women</v>
      </c>
      <c r="L103">
        <v>1</v>
      </c>
    </row>
    <row r="104" spans="1:12" x14ac:dyDescent="0.25">
      <c r="A104" t="s">
        <v>129</v>
      </c>
      <c r="B104">
        <v>65</v>
      </c>
      <c r="C104" t="s">
        <v>39</v>
      </c>
      <c r="D104">
        <v>36</v>
      </c>
      <c r="E104" t="s">
        <v>25</v>
      </c>
      <c r="F104" t="s">
        <v>33</v>
      </c>
      <c r="G104" t="s">
        <v>14</v>
      </c>
      <c r="H104" t="s">
        <v>15</v>
      </c>
      <c r="I104" t="s">
        <v>14</v>
      </c>
      <c r="J104" t="s">
        <v>22</v>
      </c>
      <c r="K104" t="str">
        <f t="shared" si="1"/>
        <v>Older women</v>
      </c>
      <c r="L104">
        <v>1</v>
      </c>
    </row>
    <row r="105" spans="1:12" x14ac:dyDescent="0.25">
      <c r="A105" t="s">
        <v>130</v>
      </c>
      <c r="B105">
        <v>67</v>
      </c>
      <c r="C105" t="s">
        <v>21</v>
      </c>
      <c r="D105">
        <v>11</v>
      </c>
      <c r="E105" t="s">
        <v>12</v>
      </c>
      <c r="F105" t="s">
        <v>33</v>
      </c>
      <c r="G105" t="s">
        <v>14</v>
      </c>
      <c r="H105" t="s">
        <v>15</v>
      </c>
      <c r="I105" t="s">
        <v>14</v>
      </c>
      <c r="J105" t="s">
        <v>22</v>
      </c>
      <c r="K105" t="str">
        <f t="shared" si="1"/>
        <v>Older women</v>
      </c>
      <c r="L105">
        <v>1</v>
      </c>
    </row>
    <row r="106" spans="1:12" x14ac:dyDescent="0.25">
      <c r="A106" t="s">
        <v>131</v>
      </c>
      <c r="B106">
        <v>60</v>
      </c>
      <c r="C106" t="s">
        <v>21</v>
      </c>
      <c r="D106">
        <v>7</v>
      </c>
      <c r="E106" t="s">
        <v>25</v>
      </c>
      <c r="F106" t="s">
        <v>19</v>
      </c>
      <c r="G106" t="s">
        <v>15</v>
      </c>
      <c r="H106" t="s">
        <v>14</v>
      </c>
      <c r="I106" t="s">
        <v>14</v>
      </c>
      <c r="J106" t="s">
        <v>16</v>
      </c>
      <c r="K106" t="str">
        <f t="shared" si="1"/>
        <v>Older women</v>
      </c>
      <c r="L106">
        <v>1</v>
      </c>
    </row>
    <row r="107" spans="1:12" x14ac:dyDescent="0.25">
      <c r="A107" t="s">
        <v>132</v>
      </c>
      <c r="B107">
        <v>50</v>
      </c>
      <c r="C107" t="s">
        <v>44</v>
      </c>
      <c r="D107">
        <v>37</v>
      </c>
      <c r="E107" t="s">
        <v>18</v>
      </c>
      <c r="F107" t="s">
        <v>13</v>
      </c>
      <c r="G107" t="s">
        <v>14</v>
      </c>
      <c r="H107" t="s">
        <v>15</v>
      </c>
      <c r="I107" t="s">
        <v>14</v>
      </c>
      <c r="J107" t="s">
        <v>22</v>
      </c>
      <c r="K107" t="str">
        <f t="shared" si="1"/>
        <v>Middle Age</v>
      </c>
      <c r="L107">
        <v>1</v>
      </c>
    </row>
    <row r="108" spans="1:12" x14ac:dyDescent="0.25">
      <c r="A108" t="s">
        <v>133</v>
      </c>
      <c r="B108">
        <v>48</v>
      </c>
      <c r="C108" t="s">
        <v>21</v>
      </c>
      <c r="D108">
        <v>36</v>
      </c>
      <c r="E108" t="s">
        <v>12</v>
      </c>
      <c r="F108" t="s">
        <v>19</v>
      </c>
      <c r="G108" t="s">
        <v>15</v>
      </c>
      <c r="H108" t="s">
        <v>14</v>
      </c>
      <c r="I108" t="s">
        <v>15</v>
      </c>
      <c r="J108" t="s">
        <v>22</v>
      </c>
      <c r="K108" t="str">
        <f t="shared" si="1"/>
        <v>Middle Age</v>
      </c>
      <c r="L108">
        <v>1</v>
      </c>
    </row>
    <row r="109" spans="1:12" x14ac:dyDescent="0.25">
      <c r="A109" t="s">
        <v>134</v>
      </c>
      <c r="B109">
        <v>43</v>
      </c>
      <c r="C109" t="s">
        <v>24</v>
      </c>
      <c r="D109">
        <v>33</v>
      </c>
      <c r="E109" t="s">
        <v>12</v>
      </c>
      <c r="F109" t="s">
        <v>19</v>
      </c>
      <c r="G109" t="s">
        <v>15</v>
      </c>
      <c r="H109" t="s">
        <v>14</v>
      </c>
      <c r="I109" t="s">
        <v>15</v>
      </c>
      <c r="J109" t="s">
        <v>22</v>
      </c>
      <c r="K109" t="str">
        <f t="shared" si="1"/>
        <v>Middle Age</v>
      </c>
      <c r="L109">
        <v>1</v>
      </c>
    </row>
    <row r="110" spans="1:12" x14ac:dyDescent="0.25">
      <c r="A110" t="s">
        <v>135</v>
      </c>
      <c r="B110">
        <v>44</v>
      </c>
      <c r="C110" t="s">
        <v>24</v>
      </c>
      <c r="D110">
        <v>40</v>
      </c>
      <c r="E110" t="s">
        <v>18</v>
      </c>
      <c r="F110" t="s">
        <v>33</v>
      </c>
      <c r="G110" t="s">
        <v>14</v>
      </c>
      <c r="H110" t="s">
        <v>15</v>
      </c>
      <c r="I110" t="s">
        <v>15</v>
      </c>
      <c r="J110" t="s">
        <v>22</v>
      </c>
      <c r="K110" t="str">
        <f t="shared" si="1"/>
        <v>Middle Age</v>
      </c>
      <c r="L110">
        <v>1</v>
      </c>
    </row>
    <row r="111" spans="1:12" x14ac:dyDescent="0.25">
      <c r="A111" t="s">
        <v>136</v>
      </c>
      <c r="B111">
        <v>32</v>
      </c>
      <c r="C111" t="s">
        <v>39</v>
      </c>
      <c r="D111">
        <v>14</v>
      </c>
      <c r="E111" t="s">
        <v>25</v>
      </c>
      <c r="F111" t="s">
        <v>33</v>
      </c>
      <c r="G111" t="s">
        <v>14</v>
      </c>
      <c r="H111" t="s">
        <v>14</v>
      </c>
      <c r="I111" t="s">
        <v>14</v>
      </c>
      <c r="J111" t="s">
        <v>16</v>
      </c>
      <c r="K111" t="str">
        <f t="shared" si="1"/>
        <v>Young Adult</v>
      </c>
      <c r="L111">
        <v>1</v>
      </c>
    </row>
    <row r="112" spans="1:12" x14ac:dyDescent="0.25">
      <c r="A112" t="s">
        <v>137</v>
      </c>
      <c r="B112">
        <v>40</v>
      </c>
      <c r="C112" t="s">
        <v>32</v>
      </c>
      <c r="D112">
        <v>34</v>
      </c>
      <c r="E112" t="s">
        <v>18</v>
      </c>
      <c r="F112" t="s">
        <v>33</v>
      </c>
      <c r="G112" t="s">
        <v>14</v>
      </c>
      <c r="H112" t="s">
        <v>15</v>
      </c>
      <c r="I112" t="s">
        <v>15</v>
      </c>
      <c r="J112" t="s">
        <v>22</v>
      </c>
      <c r="K112" t="str">
        <f t="shared" si="1"/>
        <v>Middle Age</v>
      </c>
      <c r="L112">
        <v>1</v>
      </c>
    </row>
    <row r="113" spans="1:12" x14ac:dyDescent="0.25">
      <c r="A113" t="s">
        <v>138</v>
      </c>
      <c r="B113">
        <v>51</v>
      </c>
      <c r="C113" t="s">
        <v>21</v>
      </c>
      <c r="D113">
        <v>26</v>
      </c>
      <c r="E113" t="s">
        <v>12</v>
      </c>
      <c r="F113" t="s">
        <v>13</v>
      </c>
      <c r="G113" t="s">
        <v>15</v>
      </c>
      <c r="H113" t="s">
        <v>14</v>
      </c>
      <c r="I113" t="s">
        <v>14</v>
      </c>
      <c r="J113" t="s">
        <v>22</v>
      </c>
      <c r="K113" t="str">
        <f t="shared" si="1"/>
        <v>Older women</v>
      </c>
      <c r="L113">
        <v>1</v>
      </c>
    </row>
    <row r="114" spans="1:12" x14ac:dyDescent="0.25">
      <c r="A114" t="s">
        <v>139</v>
      </c>
      <c r="B114">
        <v>67</v>
      </c>
      <c r="C114" t="s">
        <v>30</v>
      </c>
      <c r="D114">
        <v>36</v>
      </c>
      <c r="E114" t="s">
        <v>25</v>
      </c>
      <c r="F114" t="s">
        <v>13</v>
      </c>
      <c r="G114" t="s">
        <v>14</v>
      </c>
      <c r="H114" t="s">
        <v>15</v>
      </c>
      <c r="I114" t="s">
        <v>14</v>
      </c>
      <c r="J114" t="s">
        <v>22</v>
      </c>
      <c r="K114" t="str">
        <f t="shared" si="1"/>
        <v>Older women</v>
      </c>
      <c r="L114">
        <v>1</v>
      </c>
    </row>
    <row r="115" spans="1:12" x14ac:dyDescent="0.25">
      <c r="A115" t="s">
        <v>140</v>
      </c>
      <c r="B115">
        <v>59</v>
      </c>
      <c r="C115" t="s">
        <v>24</v>
      </c>
      <c r="D115">
        <v>29</v>
      </c>
      <c r="E115" t="s">
        <v>12</v>
      </c>
      <c r="F115" t="s">
        <v>33</v>
      </c>
      <c r="G115" t="s">
        <v>14</v>
      </c>
      <c r="H115" t="s">
        <v>14</v>
      </c>
      <c r="I115" t="s">
        <v>15</v>
      </c>
      <c r="J115" t="s">
        <v>22</v>
      </c>
      <c r="K115" t="str">
        <f t="shared" si="1"/>
        <v>Older women</v>
      </c>
      <c r="L115">
        <v>1</v>
      </c>
    </row>
    <row r="116" spans="1:12" x14ac:dyDescent="0.25">
      <c r="A116" t="s">
        <v>141</v>
      </c>
      <c r="B116">
        <v>39</v>
      </c>
      <c r="C116" t="s">
        <v>39</v>
      </c>
      <c r="D116">
        <v>31</v>
      </c>
      <c r="E116" t="s">
        <v>25</v>
      </c>
      <c r="F116" t="s">
        <v>13</v>
      </c>
      <c r="G116" t="s">
        <v>14</v>
      </c>
      <c r="H116" t="s">
        <v>15</v>
      </c>
      <c r="I116" t="s">
        <v>14</v>
      </c>
      <c r="J116" t="s">
        <v>22</v>
      </c>
      <c r="K116" t="str">
        <f t="shared" si="1"/>
        <v>Middle Age</v>
      </c>
      <c r="L116">
        <v>1</v>
      </c>
    </row>
    <row r="117" spans="1:12" x14ac:dyDescent="0.25">
      <c r="A117" t="s">
        <v>142</v>
      </c>
      <c r="B117">
        <v>66</v>
      </c>
      <c r="C117" t="s">
        <v>30</v>
      </c>
      <c r="D117">
        <v>14</v>
      </c>
      <c r="E117" t="s">
        <v>18</v>
      </c>
      <c r="F117" t="s">
        <v>33</v>
      </c>
      <c r="G117" t="s">
        <v>15</v>
      </c>
      <c r="H117" t="s">
        <v>14</v>
      </c>
      <c r="I117" t="s">
        <v>15</v>
      </c>
      <c r="J117" t="s">
        <v>16</v>
      </c>
      <c r="K117" t="str">
        <f t="shared" si="1"/>
        <v>Older women</v>
      </c>
      <c r="L117">
        <v>1</v>
      </c>
    </row>
    <row r="118" spans="1:12" x14ac:dyDescent="0.25">
      <c r="A118" t="s">
        <v>143</v>
      </c>
      <c r="B118">
        <v>31</v>
      </c>
      <c r="C118" t="s">
        <v>39</v>
      </c>
      <c r="D118">
        <v>38</v>
      </c>
      <c r="E118" t="s">
        <v>12</v>
      </c>
      <c r="F118" t="s">
        <v>19</v>
      </c>
      <c r="G118" t="s">
        <v>15</v>
      </c>
      <c r="H118" t="s">
        <v>14</v>
      </c>
      <c r="I118" t="s">
        <v>15</v>
      </c>
      <c r="J118" t="s">
        <v>22</v>
      </c>
      <c r="K118" t="str">
        <f t="shared" si="1"/>
        <v>Young Adult</v>
      </c>
      <c r="L118">
        <v>1</v>
      </c>
    </row>
    <row r="119" spans="1:12" x14ac:dyDescent="0.25">
      <c r="A119" t="s">
        <v>144</v>
      </c>
      <c r="B119">
        <v>29</v>
      </c>
      <c r="C119" t="s">
        <v>11</v>
      </c>
      <c r="D119">
        <v>35</v>
      </c>
      <c r="E119" t="s">
        <v>25</v>
      </c>
      <c r="F119" t="s">
        <v>13</v>
      </c>
      <c r="G119" t="s">
        <v>14</v>
      </c>
      <c r="H119" t="s">
        <v>14</v>
      </c>
      <c r="I119" t="s">
        <v>14</v>
      </c>
      <c r="J119" t="s">
        <v>22</v>
      </c>
      <c r="K119" t="str">
        <f t="shared" si="1"/>
        <v>Young Adult</v>
      </c>
      <c r="L119">
        <v>1</v>
      </c>
    </row>
    <row r="120" spans="1:12" x14ac:dyDescent="0.25">
      <c r="A120" t="s">
        <v>145</v>
      </c>
      <c r="B120">
        <v>59</v>
      </c>
      <c r="C120" t="s">
        <v>11</v>
      </c>
      <c r="D120">
        <v>29</v>
      </c>
      <c r="E120" t="s">
        <v>18</v>
      </c>
      <c r="F120" t="s">
        <v>13</v>
      </c>
      <c r="G120" t="s">
        <v>14</v>
      </c>
      <c r="H120" t="s">
        <v>14</v>
      </c>
      <c r="I120" t="s">
        <v>15</v>
      </c>
      <c r="J120" t="s">
        <v>22</v>
      </c>
      <c r="K120" t="str">
        <f t="shared" si="1"/>
        <v>Older women</v>
      </c>
      <c r="L120">
        <v>1</v>
      </c>
    </row>
    <row r="121" spans="1:12" x14ac:dyDescent="0.25">
      <c r="A121" t="s">
        <v>146</v>
      </c>
      <c r="B121">
        <v>68</v>
      </c>
      <c r="C121" t="s">
        <v>11</v>
      </c>
      <c r="D121">
        <v>23</v>
      </c>
      <c r="E121" t="s">
        <v>12</v>
      </c>
      <c r="F121" t="s">
        <v>13</v>
      </c>
      <c r="G121" t="s">
        <v>15</v>
      </c>
      <c r="H121" t="s">
        <v>15</v>
      </c>
      <c r="I121" t="s">
        <v>14</v>
      </c>
      <c r="J121" t="s">
        <v>22</v>
      </c>
      <c r="K121" t="str">
        <f t="shared" si="1"/>
        <v>Older women</v>
      </c>
      <c r="L1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Diagnosis Analysis</vt:lpstr>
      <vt:lpstr>Age group analysis</vt:lpstr>
      <vt:lpstr>Country Analysis</vt:lpstr>
      <vt:lpstr>Age Vs Diagnosis</vt:lpstr>
      <vt:lpstr>Dataset</vt:lpstr>
      <vt:lpstr>Age__Group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Nwegbene Nkemjika</cp:lastModifiedBy>
  <dcterms:created xsi:type="dcterms:W3CDTF">2026-03-16T09:51:06Z</dcterms:created>
  <dcterms:modified xsi:type="dcterms:W3CDTF">2026-03-16T15:47:24Z</dcterms:modified>
</cp:coreProperties>
</file>